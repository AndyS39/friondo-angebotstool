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sehilfe" sheetId="1" state="visible" r:id="rId1"/>
    <sheet xmlns:r="http://schemas.openxmlformats.org/officeDocument/2006/relationships" name="Fragen" sheetId="2" state="visible" r:id="rId2"/>
    <sheet xmlns:r="http://schemas.openxmlformats.org/officeDocument/2006/relationships" name="Aktionen" sheetId="3" state="visible" r:id="rId3"/>
    <sheet xmlns:r="http://schemas.openxmlformats.org/officeDocument/2006/relationships" name="Paketmatrix" sheetId="4" state="visible" r:id="rId4"/>
    <sheet xmlns:r="http://schemas.openxmlformats.org/officeDocument/2006/relationships" name="Zusatzartikel" sheetId="5" state="visible" r:id="rId5"/>
    <sheet xmlns:r="http://schemas.openxmlformats.org/officeDocument/2006/relationships" name="Textregeln" sheetId="6" state="visible" r:id="rId6"/>
    <sheet xmlns:r="http://schemas.openxmlformats.org/officeDocument/2006/relationships" name="Angebotsaufbau" sheetId="7" state="visible" r:id="rId7"/>
    <sheet xmlns:r="http://schemas.openxmlformats.org/officeDocument/2006/relationships" name="KfW"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color rgb="00FFFFFF"/>
      <sz val="10"/>
    </font>
  </fonts>
  <fills count="4">
    <fill>
      <patternFill/>
    </fill>
    <fill>
      <patternFill patternType="gray125"/>
    </fill>
    <fill>
      <patternFill patternType="solid">
        <fgColor rgb="00191E44"/>
      </patternFill>
    </fill>
    <fill>
      <patternFill patternType="solid">
        <fgColor rgb="00EAF1F8"/>
      </patternFill>
    </fill>
  </fills>
  <borders count="2">
    <border>
      <left/>
      <right/>
      <top/>
      <bottom/>
      <diagonal/>
    </border>
    <border>
      <bottom style="thin">
        <color rgb="00D9DFE9"/>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4"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8" customWidth="1" min="1" max="1"/>
  </cols>
  <sheetData>
    <row r="1">
      <c r="A1" s="1" t="inlineStr">
        <is>
          <t>Konfigurator-Logik – Friondo Angebotstool</t>
        </is>
      </c>
    </row>
    <row r="2">
      <c r="A2" s="2" t="inlineStr">
        <is>
          <t>Diese Datei ist die zentrale Steuerung des Angebots-Konfigurators. Das Tool liest sie ein und baut daraus den kompletten Fragenfluss.</t>
        </is>
      </c>
    </row>
    <row r="3">
      <c r="A3" s="2" t="inlineStr">
        <is>
          <t>Alle Blätter dürfen vom Vertrieb/Admin gepflegt werden – nach Änderungen die Datei speichern und im Tool neu einlesen.</t>
        </is>
      </c>
    </row>
    <row r="4">
      <c r="A4" s="2" t="inlineStr"/>
    </row>
    <row r="5">
      <c r="A5" s="1" t="inlineStr">
        <is>
          <t>Blätter:</t>
        </is>
      </c>
    </row>
    <row r="6">
      <c r="A6" s="2" t="inlineStr">
        <is>
          <t>• Fragen: alle Fragen in Reihenfolge, mit Typ, Antwortmöglichkeiten und Anzeige-Bedingung.</t>
        </is>
      </c>
    </row>
    <row r="7">
      <c r="A7" s="2" t="inlineStr">
        <is>
          <t>• Aktionen: was bei welcher Antwort passiert (Positionen, Mengen, Abbruch-Meldungen).</t>
        </is>
      </c>
    </row>
    <row r="8">
      <c r="A8" s="2" t="inlineStr">
        <is>
          <t>• Paketmatrix: Wärmepumpen-Paket je Leistungsklasse und Warmwasser-Fall.</t>
        </is>
      </c>
    </row>
    <row r="9">
      <c r="A9" s="2" t="inlineStr">
        <is>
          <t>• Zusatzartikel: Artikel Z01–Z22, die es in der TAIFUN-Preisliste (noch) nicht gibt.</t>
        </is>
      </c>
    </row>
    <row r="10">
      <c r="A10" s="2" t="inlineStr">
        <is>
          <t>• Textregeln: automatische Textanpassungen beim Einlesen der Preisliste.</t>
        </is>
      </c>
    </row>
    <row r="11">
      <c r="A11" s="2" t="inlineStr">
        <is>
          <t>• Angebotsaufbau: Reihenfolge und Überschriften der Blöcke im fertigen Angebot.</t>
        </is>
      </c>
    </row>
    <row r="12">
      <c r="A12" s="2" t="inlineStr">
        <is>
          <t>• KfW: alle Förderparameter (Sätze, Boni, Höchstkosten, Gültigkeit).</t>
        </is>
      </c>
    </row>
    <row r="13">
      <c r="A13" s="2" t="inlineStr"/>
    </row>
    <row r="14">
      <c r="A14" s="1" t="inlineStr">
        <is>
          <t>Wichtige Regeln:</t>
        </is>
      </c>
    </row>
    <row r="15">
      <c r="A15" s="2" t="inlineStr">
        <is>
          <t>• 'Pos. 045' usw. = Positionsnummer aus der TAIFUN-Preisliste (Angebotserstellung Tool.xlsx). Das Tool verankert jede Position zusätzlich an ihrer GUID und warnt, wenn sich hinter einer Nummer der Artikel ändert.</t>
        </is>
      </c>
    </row>
    <row r="16">
      <c r="A16" s="2" t="inlineStr">
        <is>
          <t>• 'Z01' usw. = Zusatzartikel aus dem Blatt 'Zusatzartikel'.</t>
        </is>
      </c>
    </row>
    <row r="17">
      <c r="A17" s="2" t="inlineStr">
        <is>
          <t>• EP = Eventualposition: erscheint mit Einzelpreis und Kennzeichnung 'EP.', zählt nicht in die Angebotssumme.</t>
        </is>
      </c>
    </row>
    <row r="18">
      <c r="A18" s="2" t="inlineStr">
        <is>
          <t>• ABBRUCH = Meldung anzeigen, Konfigurator stoppt, Wechsel ins manuelle Angebot wird angeboten.</t>
        </is>
      </c>
    </row>
    <row r="19">
      <c r="A19" s="2" t="inlineStr">
        <is>
          <t>• Neue Antwortmöglichkeit ergänzen: Zeile im Blatt 'Fragen' erweitern + passende Zeile(n) im Blatt 'Aktionen' anlegen.</t>
        </is>
      </c>
    </row>
    <row r="20">
      <c r="A20" s="2" t="inlineStr">
        <is>
          <t>• Beispiel einer Aktionszeile: F13 | 100 l | Artikel: Z16 ×1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6" customWidth="1" min="3" max="3"/>
    <col width="20" customWidth="1" min="4" max="4"/>
    <col width="52" customWidth="1" min="5" max="5"/>
    <col width="30" customWidth="1" min="6" max="6"/>
    <col width="42" customWidth="1" min="7" max="7"/>
  </cols>
  <sheetData>
    <row r="1">
      <c r="A1" s="3" t="inlineStr">
        <is>
          <t>ID</t>
        </is>
      </c>
      <c r="B1" s="3" t="inlineStr">
        <is>
          <t>Reihenfolge</t>
        </is>
      </c>
      <c r="C1" s="3" t="inlineStr">
        <is>
          <t>Fragetext</t>
        </is>
      </c>
      <c r="D1" s="3" t="inlineStr">
        <is>
          <t>Typ</t>
        </is>
      </c>
      <c r="E1" s="3" t="inlineStr">
        <is>
          <t>Antwortmöglichkeiten</t>
        </is>
      </c>
      <c r="F1" s="3" t="inlineStr">
        <is>
          <t>Anzeigen wenn</t>
        </is>
      </c>
      <c r="G1" s="3" t="inlineStr">
        <is>
          <t>Hinweis</t>
        </is>
      </c>
    </row>
    <row r="2">
      <c r="A2" s="4" t="inlineStr">
        <is>
          <t>F01</t>
        </is>
      </c>
      <c r="B2" s="4" t="inlineStr">
        <is>
          <t>1</t>
        </is>
      </c>
      <c r="C2" s="4" t="inlineStr">
        <is>
          <t>Womit wird bislang geheizt?</t>
        </is>
      </c>
      <c r="D2" s="4" t="inlineStr">
        <is>
          <t>Auswahl</t>
        </is>
      </c>
      <c r="E2" s="4" t="inlineStr">
        <is>
          <t>Gas | Öl | Nachtspeicher | Sonstiges</t>
        </is>
      </c>
      <c r="F2" s="4" t="inlineStr">
        <is>
          <t>immer</t>
        </is>
      </c>
      <c r="G2" s="4" t="inlineStr"/>
    </row>
    <row r="3">
      <c r="A3" s="5" t="inlineStr">
        <is>
          <t>F02</t>
        </is>
      </c>
      <c r="B3" s="5" t="inlineStr">
        <is>
          <t>2</t>
        </is>
      </c>
      <c r="C3" s="5" t="inlineStr">
        <is>
          <t>Wie hoch ist der aktuelle Verbrauch in kWh?</t>
        </is>
      </c>
      <c r="D3" s="5" t="inlineStr">
        <is>
          <t>Zahleneingabe</t>
        </is>
      </c>
      <c r="E3" s="5" t="inlineStr"/>
      <c r="F3" s="5" t="inlineStr">
        <is>
          <t>immer</t>
        </is>
      </c>
      <c r="G3" s="5" t="inlineStr">
        <is>
          <t>Bei Öl rechnet der Vertriebler Liter selbst in kWh um (Eingabe immer kWh).</t>
        </is>
      </c>
    </row>
    <row r="4">
      <c r="A4" s="4" t="inlineStr">
        <is>
          <t>F03</t>
        </is>
      </c>
      <c r="B4" s="4" t="inlineStr">
        <is>
          <t>3</t>
        </is>
      </c>
      <c r="C4" s="4" t="inlineStr">
        <is>
          <t>Soll das Warmwasser über die Wärmepumpe bereitet werden?</t>
        </is>
      </c>
      <c r="D4" s="4" t="inlineStr">
        <is>
          <t>Auswahl</t>
        </is>
      </c>
      <c r="E4" s="4" t="inlineStr">
        <is>
          <t>Ja | Nein</t>
        </is>
      </c>
      <c r="F4" s="4" t="inlineStr">
        <is>
          <t>immer</t>
        </is>
      </c>
      <c r="G4" s="4" t="inlineStr">
        <is>
          <t>Steuert Paketvariante und Überschrift Block 1.</t>
        </is>
      </c>
    </row>
    <row r="5">
      <c r="A5" s="5" t="inlineStr">
        <is>
          <t>F04</t>
        </is>
      </c>
      <c r="B5" s="5" t="inlineStr">
        <is>
          <t>4</t>
        </is>
      </c>
      <c r="C5" s="5" t="inlineStr">
        <is>
          <t>Wie groß soll der Warmwasserspeicher sein?</t>
        </is>
      </c>
      <c r="D5" s="5" t="inlineStr">
        <is>
          <t>Auswahl</t>
        </is>
      </c>
      <c r="E5" s="5" t="inlineStr">
        <is>
          <t>bis 200 l | 300 l | mehr als 300 l</t>
        </is>
      </c>
      <c r="F5" s="5" t="inlineStr">
        <is>
          <t>nur wenn F03 = Ja</t>
        </is>
      </c>
      <c r="G5" s="5" t="inlineStr">
        <is>
          <t>In den AWM-Paketen ist ein 180-l-Speicher integriert; Option heißt bewusst 'bis 200 l'.</t>
        </is>
      </c>
    </row>
    <row r="6">
      <c r="A6" s="4" t="inlineStr">
        <is>
          <t>F05</t>
        </is>
      </c>
      <c r="B6" s="4" t="inlineStr">
        <is>
          <t>5</t>
        </is>
      </c>
      <c r="C6" s="4" t="inlineStr">
        <is>
          <t>Wo liegt der Heizraum?</t>
        </is>
      </c>
      <c r="D6" s="4" t="inlineStr">
        <is>
          <t>Auswahl</t>
        </is>
      </c>
      <c r="E6" s="4" t="inlineStr">
        <is>
          <t>KG | EG | OG | DG | Sonstige</t>
        </is>
      </c>
      <c r="F6" s="4" t="inlineStr">
        <is>
          <t>immer</t>
        </is>
      </c>
      <c r="G6" s="4" t="inlineStr"/>
    </row>
    <row r="7">
      <c r="A7" s="5" t="inlineStr">
        <is>
          <t>F06</t>
        </is>
      </c>
      <c r="B7" s="5" t="inlineStr">
        <is>
          <t>6</t>
        </is>
      </c>
      <c r="C7" s="5" t="inlineStr">
        <is>
          <t>Länge der Erdleitung (in Metern)?</t>
        </is>
      </c>
      <c r="D7" s="5" t="inlineStr">
        <is>
          <t>Zahleneingabe</t>
        </is>
      </c>
      <c r="E7" s="5" t="inlineStr"/>
      <c r="F7" s="5" t="inlineStr">
        <is>
          <t>nur wenn F05 = KG oder EG</t>
        </is>
      </c>
      <c r="G7" s="5" t="inlineStr">
        <is>
          <t>Menge 1:1 = Eingabe.</t>
        </is>
      </c>
    </row>
    <row r="8">
      <c r="A8" s="4" t="inlineStr">
        <is>
          <t>F07</t>
        </is>
      </c>
      <c r="B8" s="4" t="inlineStr">
        <is>
          <t>7</t>
        </is>
      </c>
      <c r="C8" s="4" t="inlineStr">
        <is>
          <t>Länge der Fassadenleitung (in Metern)?</t>
        </is>
      </c>
      <c r="D8" s="4" t="inlineStr">
        <is>
          <t>Zahleneingabe</t>
        </is>
      </c>
      <c r="E8" s="4" t="inlineStr"/>
      <c r="F8" s="4" t="inlineStr">
        <is>
          <t>nur wenn F05 = OG oder DG</t>
        </is>
      </c>
      <c r="G8" s="4" t="inlineStr">
        <is>
          <t>Menge 1:1 = Eingabe.</t>
        </is>
      </c>
    </row>
    <row r="9">
      <c r="A9" s="5" t="inlineStr">
        <is>
          <t>F08</t>
        </is>
      </c>
      <c r="B9" s="5" t="inlineStr">
        <is>
          <t>8</t>
        </is>
      </c>
      <c r="C9" s="5" t="inlineStr">
        <is>
          <t>Wo wird die Wärmepumpe aufgestellt?</t>
        </is>
      </c>
      <c r="D9" s="5" t="inlineStr">
        <is>
          <t>Auswahl</t>
        </is>
      </c>
      <c r="E9" s="5" t="inlineStr">
        <is>
          <t>Boden | Garagendach | Sonstiges</t>
        </is>
      </c>
      <c r="F9" s="5" t="inlineStr">
        <is>
          <t>immer</t>
        </is>
      </c>
      <c r="G9" s="5" t="inlineStr"/>
    </row>
    <row r="10">
      <c r="A10" s="4" t="inlineStr">
        <is>
          <t>F09</t>
        </is>
      </c>
      <c r="B10" s="4" t="inlineStr">
        <is>
          <t>9</t>
        </is>
      </c>
      <c r="C10" s="4" t="inlineStr">
        <is>
          <t>Durchführung durch Bitumen?</t>
        </is>
      </c>
      <c r="D10" s="4" t="inlineStr">
        <is>
          <t>Auswahl</t>
        </is>
      </c>
      <c r="E10" s="4" t="inlineStr">
        <is>
          <t>Ja | Nein</t>
        </is>
      </c>
      <c r="F10" s="4" t="inlineStr">
        <is>
          <t>nur wenn F08 = Garagendach</t>
        </is>
      </c>
      <c r="G10" s="4" t="inlineStr"/>
    </row>
    <row r="11">
      <c r="A11" s="5" t="inlineStr">
        <is>
          <t>F10</t>
        </is>
      </c>
      <c r="B11" s="5" t="inlineStr">
        <is>
          <t>10</t>
        </is>
      </c>
      <c r="C11" s="5" t="inlineStr">
        <is>
          <t>Öl-Tankentsorgung erforderlich?</t>
        </is>
      </c>
      <c r="D11" s="5" t="inlineStr">
        <is>
          <t>Auswahl</t>
        </is>
      </c>
      <c r="E11" s="5" t="inlineStr">
        <is>
          <t>Ja | Nein</t>
        </is>
      </c>
      <c r="F11" s="5" t="inlineStr">
        <is>
          <t>nur wenn F01 = Öl</t>
        </is>
      </c>
      <c r="G11" s="5" t="inlineStr"/>
    </row>
    <row r="12">
      <c r="A12" s="4" t="inlineStr">
        <is>
          <t>F11</t>
        </is>
      </c>
      <c r="B12" s="4" t="inlineStr">
        <is>
          <t>11</t>
        </is>
      </c>
      <c r="C12" s="4" t="inlineStr">
        <is>
          <t>Art des Öltanks?</t>
        </is>
      </c>
      <c r="D12" s="4" t="inlineStr">
        <is>
          <t>Auswahl</t>
        </is>
      </c>
      <c r="E12" s="4" t="inlineStr">
        <is>
          <t>Stahl | Kunststoff | Unterirdisch</t>
        </is>
      </c>
      <c r="F12" s="4" t="inlineStr">
        <is>
          <t>nur wenn F10 = Ja</t>
        </is>
      </c>
      <c r="G12" s="4" t="inlineStr"/>
    </row>
    <row r="13">
      <c r="A13" s="5" t="inlineStr">
        <is>
          <t>F12</t>
        </is>
      </c>
      <c r="B13" s="5" t="inlineStr">
        <is>
          <t>12</t>
        </is>
      </c>
      <c r="C13" s="5" t="inlineStr">
        <is>
          <t>Wie groß ist der Tank?</t>
        </is>
      </c>
      <c r="D13" s="5" t="inlineStr">
        <is>
          <t>Auswahl</t>
        </is>
      </c>
      <c r="E13" s="5" t="inlineStr">
        <is>
          <t>bis 3.000 L | bis 4.000 L | bis 5.000 L | bis 6.000 L | bis 7.000 L | bis 8.000 L | bis 9.000 L | ab 9.000 L</t>
        </is>
      </c>
      <c r="F13" s="5" t="inlineStr">
        <is>
          <t>nur wenn F11 = Stahl oder Kunststoff</t>
        </is>
      </c>
      <c r="G13" s="5" t="inlineStr"/>
    </row>
    <row r="14">
      <c r="A14" s="4" t="inlineStr">
        <is>
          <t>F13</t>
        </is>
      </c>
      <c r="B14" s="4" t="inlineStr">
        <is>
          <t>13</t>
        </is>
      </c>
      <c r="C14" s="4" t="inlineStr">
        <is>
          <t>Größe des Pufferspeichers?</t>
        </is>
      </c>
      <c r="D14" s="4" t="inlineStr">
        <is>
          <t>Auswahl</t>
        </is>
      </c>
      <c r="E14" s="4" t="inlineStr">
        <is>
          <t>50 l | 100 l | 200 l | 300 l | 500 l | mehr als 500 l</t>
        </is>
      </c>
      <c r="F14" s="4" t="inlineStr">
        <is>
          <t>immer</t>
        </is>
      </c>
      <c r="G14" s="4" t="inlineStr"/>
    </row>
    <row r="15">
      <c r="A15" s="5" t="inlineStr">
        <is>
          <t>F14</t>
        </is>
      </c>
      <c r="B15" s="5" t="inlineStr">
        <is>
          <t>14</t>
        </is>
      </c>
      <c r="C15" s="5" t="inlineStr">
        <is>
          <t>Wie viele Heizkreise?</t>
        </is>
      </c>
      <c r="D15" s="5" t="inlineStr">
        <is>
          <t>Auswahl</t>
        </is>
      </c>
      <c r="E15" s="5" t="inlineStr">
        <is>
          <t>1 | 2 | 3 | mehr als 3</t>
        </is>
      </c>
      <c r="F15" s="5" t="inlineStr">
        <is>
          <t>immer</t>
        </is>
      </c>
      <c r="G15" s="5" t="inlineStr">
        <is>
          <t>Ein Heizkreis ist im WP-Paket enthalten.</t>
        </is>
      </c>
    </row>
    <row r="16">
      <c r="A16" s="4" t="inlineStr">
        <is>
          <t>F15</t>
        </is>
      </c>
      <c r="B16" s="4" t="inlineStr">
        <is>
          <t>15</t>
        </is>
      </c>
      <c r="C16" s="4" t="inlineStr">
        <is>
          <t>Verteilsystem?</t>
        </is>
      </c>
      <c r="D16" s="4" t="inlineStr">
        <is>
          <t>Auswahl</t>
        </is>
      </c>
      <c r="E16" s="4" t="inlineStr">
        <is>
          <t>Heizkörper | Fußbodenheizung | Heizkörper und Fußbodenheizung | Sonstiges</t>
        </is>
      </c>
      <c r="F16" s="4" t="inlineStr">
        <is>
          <t>immer</t>
        </is>
      </c>
      <c r="G16" s="4" t="inlineStr">
        <is>
          <t>Bei 'beides' laufen erst der Heizkörper-, dann der FBH-Block.</t>
        </is>
      </c>
    </row>
    <row r="17">
      <c r="A17" s="5" t="inlineStr">
        <is>
          <t>F16</t>
        </is>
      </c>
      <c r="B17" s="5" t="inlineStr">
        <is>
          <t>16</t>
        </is>
      </c>
      <c r="C17" s="5" t="inlineStr">
        <is>
          <t>Heizkörpertausch erforderlich?</t>
        </is>
      </c>
      <c r="D17" s="5" t="inlineStr">
        <is>
          <t>Auswahl</t>
        </is>
      </c>
      <c r="E17" s="5" t="inlineStr">
        <is>
          <t>Ja | Nein</t>
        </is>
      </c>
      <c r="F17" s="5" t="inlineStr">
        <is>
          <t>nur wenn F15 = Heizkörper oder beides</t>
        </is>
      </c>
      <c r="G17" s="5" t="inlineStr"/>
    </row>
    <row r="18">
      <c r="A18" s="4" t="inlineStr">
        <is>
          <t>F17</t>
        </is>
      </c>
      <c r="B18" s="4" t="inlineStr">
        <is>
          <t>17</t>
        </is>
      </c>
      <c r="C18" s="4" t="inlineStr">
        <is>
          <t>Anzahl Heizkörper je Größe (S / M / L / XL)</t>
        </is>
      </c>
      <c r="D18" s="4" t="inlineStr">
        <is>
          <t>Mengenmaske (4 Zahlenfelder)</t>
        </is>
      </c>
      <c r="E18" s="4" t="inlineStr">
        <is>
          <t>S | M | L | XL</t>
        </is>
      </c>
      <c r="F18" s="4" t="inlineStr">
        <is>
          <t>nur wenn F16 = Ja</t>
        </is>
      </c>
      <c r="G18" s="4" t="inlineStr">
        <is>
          <t>Leer oder 0 = Größe entfällt.</t>
        </is>
      </c>
    </row>
    <row r="19">
      <c r="A19" s="5" t="inlineStr">
        <is>
          <t>F18</t>
        </is>
      </c>
      <c r="B19" s="5" t="inlineStr">
        <is>
          <t>18</t>
        </is>
      </c>
      <c r="C19" s="5" t="inlineStr">
        <is>
          <t>FBH-Heizkreisverteiler einregulierbar?</t>
        </is>
      </c>
      <c r="D19" s="5" t="inlineStr">
        <is>
          <t>Auswahl</t>
        </is>
      </c>
      <c r="E19" s="5" t="inlineStr">
        <is>
          <t>Ja | Nein</t>
        </is>
      </c>
      <c r="F19" s="5" t="inlineStr">
        <is>
          <t>nur wenn F15 = Fußbodenheizung oder beides</t>
        </is>
      </c>
      <c r="G19" s="5" t="inlineStr"/>
    </row>
    <row r="20">
      <c r="A20" s="4" t="inlineStr">
        <is>
          <t>F19</t>
        </is>
      </c>
      <c r="B20" s="4" t="inlineStr">
        <is>
          <t>19</t>
        </is>
      </c>
      <c r="C20" s="4" t="inlineStr">
        <is>
          <t>Anzahl Heizkreisverteiler?</t>
        </is>
      </c>
      <c r="D20" s="4" t="inlineStr">
        <is>
          <t>Zahleneingabe</t>
        </is>
      </c>
      <c r="E20" s="4" t="inlineStr"/>
      <c r="F20" s="4" t="inlineStr">
        <is>
          <t>nur wenn F18 = Nein</t>
        </is>
      </c>
      <c r="G20" s="4" t="inlineStr">
        <is>
          <t>Steuert die Anzahl der Felder in F20.</t>
        </is>
      </c>
    </row>
    <row r="21">
      <c r="A21" s="5" t="inlineStr">
        <is>
          <t>F20</t>
        </is>
      </c>
      <c r="B21" s="5" t="inlineStr">
        <is>
          <t>20</t>
        </is>
      </c>
      <c r="C21" s="5" t="inlineStr">
        <is>
          <t>Wie viele Gruppen hat Heizkreisverteiler {n}?</t>
        </is>
      </c>
      <c r="D21" s="5" t="inlineStr">
        <is>
          <t>Wiederholfeld je Verteiler</t>
        </is>
      </c>
      <c r="E21" s="5" t="inlineStr"/>
      <c r="F21" s="5" t="inlineStr">
        <is>
          <t>nur wenn F18 = Nein</t>
        </is>
      </c>
      <c r="G21" s="5" t="inlineStr">
        <is>
          <t>Ein Zahlenfeld pro Verteiler aus F19.</t>
        </is>
      </c>
    </row>
    <row r="22">
      <c r="A22" s="4" t="inlineStr">
        <is>
          <t>F21</t>
        </is>
      </c>
      <c r="B22" s="4" t="inlineStr">
        <is>
          <t>21</t>
        </is>
      </c>
      <c r="C22" s="4" t="inlineStr">
        <is>
          <t>Wo liegt die Zählerverteilung?</t>
        </is>
      </c>
      <c r="D22" s="4" t="inlineStr">
        <is>
          <t>Auswahl</t>
        </is>
      </c>
      <c r="E22" s="4" t="inlineStr">
        <is>
          <t>KG | EG | OG | DG | Sonstiges</t>
        </is>
      </c>
      <c r="F22" s="4" t="inlineStr">
        <is>
          <t>immer</t>
        </is>
      </c>
      <c r="G22" s="4" t="inlineStr">
        <is>
          <t>Reine Info-Frage, wird im Konfigurationsprotokoll gespeichert.</t>
        </is>
      </c>
    </row>
    <row r="23">
      <c r="A23" s="5" t="inlineStr">
        <is>
          <t>F22</t>
        </is>
      </c>
      <c r="B23" s="5" t="inlineStr">
        <is>
          <t>22</t>
        </is>
      </c>
      <c r="C23" s="5" t="inlineStr">
        <is>
          <t>Muss die Zählerverteilung erneuert werden?</t>
        </is>
      </c>
      <c r="D23" s="5" t="inlineStr">
        <is>
          <t>Auswahl</t>
        </is>
      </c>
      <c r="E23" s="5" t="inlineStr">
        <is>
          <t>Ja | Nein</t>
        </is>
      </c>
      <c r="F23" s="5" t="inlineStr">
        <is>
          <t>immer</t>
        </is>
      </c>
      <c r="G23" s="5" t="inlineStr"/>
    </row>
    <row r="24">
      <c r="A24" s="4" t="inlineStr">
        <is>
          <t>F23</t>
        </is>
      </c>
      <c r="B24" s="4" t="inlineStr">
        <is>
          <t>23</t>
        </is>
      </c>
      <c r="C24" s="4" t="inlineStr">
        <is>
          <t>Wie viele Felder?</t>
        </is>
      </c>
      <c r="D24" s="4" t="inlineStr">
        <is>
          <t>Auswahl</t>
        </is>
      </c>
      <c r="E24" s="4" t="inlineStr">
        <is>
          <t>2-Feld | 3-Feld | 4-Feld und mehr</t>
        </is>
      </c>
      <c r="F24" s="4" t="inlineStr">
        <is>
          <t>nur wenn F22 = Ja</t>
        </is>
      </c>
      <c r="G24" s="4" t="inlineStr"/>
    </row>
    <row r="25">
      <c r="A25" s="5" t="inlineStr">
        <is>
          <t>F24</t>
        </is>
      </c>
      <c r="B25" s="5" t="inlineStr">
        <is>
          <t>24</t>
        </is>
      </c>
      <c r="C25" s="5" t="inlineStr">
        <is>
          <t>SLS-Schalter vorhanden?</t>
        </is>
      </c>
      <c r="D25" s="5" t="inlineStr">
        <is>
          <t>Auswahl</t>
        </is>
      </c>
      <c r="E25" s="5" t="inlineStr">
        <is>
          <t>Ja | Nein</t>
        </is>
      </c>
      <c r="F25" s="5" t="inlineStr">
        <is>
          <t>nur wenn F22 = Nein</t>
        </is>
      </c>
      <c r="G25" s="5" t="inlineStr"/>
    </row>
    <row r="26">
      <c r="A26" s="4" t="inlineStr">
        <is>
          <t>F25</t>
        </is>
      </c>
      <c r="B26" s="4" t="inlineStr">
        <is>
          <t>25</t>
        </is>
      </c>
      <c r="C26" s="4" t="inlineStr">
        <is>
          <t>ÜSS vorhanden?</t>
        </is>
      </c>
      <c r="D26" s="4" t="inlineStr">
        <is>
          <t>Auswahl</t>
        </is>
      </c>
      <c r="E26" s="4" t="inlineStr">
        <is>
          <t>Ja | Nein</t>
        </is>
      </c>
      <c r="F26" s="4" t="inlineStr">
        <is>
          <t>nur wenn F22 = Nein</t>
        </is>
      </c>
      <c r="G26" s="4" t="inlineStr"/>
    </row>
    <row r="27">
      <c r="A27" s="5" t="inlineStr">
        <is>
          <t>F26</t>
        </is>
      </c>
      <c r="B27" s="5" t="inlineStr">
        <is>
          <t>26</t>
        </is>
      </c>
      <c r="C27" s="5" t="inlineStr">
        <is>
          <t>APZ-Feld vorhanden?</t>
        </is>
      </c>
      <c r="D27" s="5" t="inlineStr">
        <is>
          <t>Auswahl</t>
        </is>
      </c>
      <c r="E27" s="5" t="inlineStr">
        <is>
          <t>Ja | Nein</t>
        </is>
      </c>
      <c r="F27" s="5" t="inlineStr">
        <is>
          <t>nur wenn F22 = Nein</t>
        </is>
      </c>
      <c r="G27" s="5" t="inlineStr"/>
    </row>
    <row r="28">
      <c r="A28" s="4" t="inlineStr">
        <is>
          <t>F27</t>
        </is>
      </c>
      <c r="B28" s="4" t="inlineStr">
        <is>
          <t>27</t>
        </is>
      </c>
      <c r="C28" s="4" t="inlineStr">
        <is>
          <t>Friondo HEMS gewünscht?</t>
        </is>
      </c>
      <c r="D28" s="4" t="inlineStr">
        <is>
          <t>Auswahl</t>
        </is>
      </c>
      <c r="E28" s="4" t="inlineStr">
        <is>
          <t>Ja | Nein</t>
        </is>
      </c>
      <c r="F28" s="4" t="inlineStr">
        <is>
          <t>immer</t>
        </is>
      </c>
      <c r="G28" s="4" t="inlineStr"/>
    </row>
    <row r="29">
      <c r="A29" s="5" t="inlineStr">
        <is>
          <t>F28</t>
        </is>
      </c>
      <c r="B29" s="5" t="inlineStr">
        <is>
          <t>28</t>
        </is>
      </c>
      <c r="C29" s="5" t="inlineStr">
        <is>
          <t>iMSys inkl. Smart Meter gewünscht?</t>
        </is>
      </c>
      <c r="D29" s="5" t="inlineStr">
        <is>
          <t>Auswahl</t>
        </is>
      </c>
      <c r="E29" s="5" t="inlineStr">
        <is>
          <t>Ja | Nein</t>
        </is>
      </c>
      <c r="F29" s="5" t="inlineStr">
        <is>
          <t>immer</t>
        </is>
      </c>
      <c r="G29" s="5" t="inlineStr"/>
    </row>
    <row r="30">
      <c r="A30" s="4" t="inlineStr">
        <is>
          <t>F29</t>
        </is>
      </c>
      <c r="B30" s="4" t="inlineStr">
        <is>
          <t>29</t>
        </is>
      </c>
      <c r="C30" s="4" t="inlineStr">
        <is>
          <t>Friondo SpotDynamic gewünscht?</t>
        </is>
      </c>
      <c r="D30" s="4" t="inlineStr">
        <is>
          <t>Auswahl</t>
        </is>
      </c>
      <c r="E30" s="4" t="inlineStr">
        <is>
          <t>Ja | Nein</t>
        </is>
      </c>
      <c r="F30" s="4" t="inlineStr">
        <is>
          <t>immer</t>
        </is>
      </c>
      <c r="G30" s="4" t="inlineStr"/>
    </row>
    <row r="31">
      <c r="A31" s="5" t="inlineStr">
        <is>
          <t>F30</t>
        </is>
      </c>
      <c r="B31" s="5" t="inlineStr">
        <is>
          <t>30</t>
        </is>
      </c>
      <c r="C31" s="5" t="inlineStr">
        <is>
          <t>Was für ein Gebäude ist es?</t>
        </is>
      </c>
      <c r="D31" s="5" t="inlineStr">
        <is>
          <t>Auswahl</t>
        </is>
      </c>
      <c r="E31" s="5" t="inlineStr">
        <is>
          <t>Einfamilienhaus (selbst bewohnt) | Mehrfamilienhaus (2+ WE) | Gewerbeobjekt</t>
        </is>
      </c>
      <c r="F31" s="5" t="inlineStr">
        <is>
          <t>immer</t>
        </is>
      </c>
      <c r="G31" s="5" t="inlineStr">
        <is>
          <t>Start KfW-Block; Angebotssumme brutto fließt automatisch als Kosten ein.</t>
        </is>
      </c>
    </row>
    <row r="32">
      <c r="A32" s="4" t="inlineStr">
        <is>
          <t>F31</t>
        </is>
      </c>
      <c r="B32" s="4" t="inlineStr">
        <is>
          <t>31</t>
        </is>
      </c>
      <c r="C32" s="4" t="inlineStr">
        <is>
          <t>Anzahl Wohneinheiten?</t>
        </is>
      </c>
      <c r="D32" s="4" t="inlineStr">
        <is>
          <t>Zahleneingabe</t>
        </is>
      </c>
      <c r="E32" s="4" t="inlineStr"/>
      <c r="F32" s="4" t="inlineStr">
        <is>
          <t>nur wenn F30 = Mehrfamilienhaus</t>
        </is>
      </c>
      <c r="G32" s="4" t="inlineStr">
        <is>
          <t>Mindestens 2.</t>
        </is>
      </c>
    </row>
    <row r="33">
      <c r="A33" s="5" t="inlineStr">
        <is>
          <t>F32</t>
        </is>
      </c>
      <c r="B33" s="5" t="inlineStr">
        <is>
          <t>32</t>
        </is>
      </c>
      <c r="C33" s="5" t="inlineStr">
        <is>
          <t>Bewohnt der Eigentümer eine Wohneinheit selbst (Hauptwohnsitz)?</t>
        </is>
      </c>
      <c r="D33" s="5" t="inlineStr">
        <is>
          <t>Auswahl</t>
        </is>
      </c>
      <c r="E33" s="5" t="inlineStr">
        <is>
          <t>Ja | Nein</t>
        </is>
      </c>
      <c r="F33" s="5" t="inlineStr">
        <is>
          <t>nur wenn F30 = Mehrfamilienhaus</t>
        </is>
      </c>
      <c r="G33" s="5" t="inlineStr">
        <is>
          <t>Nur dann sind Boni möglich.</t>
        </is>
      </c>
    </row>
    <row r="34">
      <c r="A34" s="4" t="inlineStr">
        <is>
          <t>F33</t>
        </is>
      </c>
      <c r="B34" s="4" t="inlineStr">
        <is>
          <t>33</t>
        </is>
      </c>
      <c r="C34" s="4" t="inlineStr">
        <is>
          <t>Nettogrundfläche des Gebäudes in m²?</t>
        </is>
      </c>
      <c r="D34" s="4" t="inlineStr">
        <is>
          <t>Zahleneingabe</t>
        </is>
      </c>
      <c r="E34" s="4" t="inlineStr"/>
      <c r="F34" s="4" t="inlineStr">
        <is>
          <t>nur wenn F30 = Gewerbeobjekt</t>
        </is>
      </c>
      <c r="G34" s="4" t="inlineStr">
        <is>
          <t>Bestimmt die Höchstkosten.</t>
        </is>
      </c>
    </row>
    <row r="35">
      <c r="A35" s="5" t="inlineStr">
        <is>
          <t>F34</t>
        </is>
      </c>
      <c r="B35" s="5" t="inlineStr">
        <is>
          <t>34</t>
        </is>
      </c>
      <c r="C35" s="5" t="inlineStr">
        <is>
          <t>Welche Heizung wird ersetzt? (Klimageschwindigkeits-Bonus)</t>
        </is>
      </c>
      <c r="D35" s="5" t="inlineStr">
        <is>
          <t>Auswahl</t>
        </is>
      </c>
      <c r="E35" s="5" t="inlineStr">
        <is>
          <t>Öl-, Kohle-, Gasetagen- oder Nachtspeicherheizung, funktionstüchtig (Alter egal) | Gas- oder Biomasseheizung, mindestens 20 Jahre alt, funktionstüchtig | Andere / jüngere Heizung oder Neubaufall</t>
        </is>
      </c>
      <c r="F35" s="5" t="inlineStr">
        <is>
          <t>nur bei Selbstnutzung (EFH immer; MFH wenn F32 = Ja)</t>
        </is>
      </c>
      <c r="G35" s="5" t="inlineStr">
        <is>
          <t>Optionen 1 und 2 ergeben +16 %.</t>
        </is>
      </c>
    </row>
    <row r="36">
      <c r="A36" s="4" t="inlineStr">
        <is>
          <t>F35</t>
        </is>
      </c>
      <c r="B36" s="4" t="inlineStr">
        <is>
          <t>35</t>
        </is>
      </c>
      <c r="C36" s="4" t="inlineStr">
        <is>
          <t>Zu versteuerndes Haushaltsjahreseinkommen (€)?</t>
        </is>
      </c>
      <c r="D36" s="4" t="inlineStr">
        <is>
          <t>Betragseingabe</t>
        </is>
      </c>
      <c r="E36" s="4" t="inlineStr"/>
      <c r="F36" s="4" t="inlineStr">
        <is>
          <t>nur bei Selbstnutzung</t>
        </is>
      </c>
      <c r="G36" s="4" t="inlineStr">
        <is>
          <t>Leer oder über 50.000 € = kein Einkommensbonus.</t>
        </is>
      </c>
    </row>
    <row r="37">
      <c r="A37" s="5" t="inlineStr">
        <is>
          <t>F36</t>
        </is>
      </c>
      <c r="B37" s="5" t="inlineStr">
        <is>
          <t>36</t>
        </is>
      </c>
      <c r="C37" s="5" t="inlineStr">
        <is>
          <t>Mindestens ein minderjähriges Kind im Haushalt?</t>
        </is>
      </c>
      <c r="D37" s="5" t="inlineStr">
        <is>
          <t>Auswahl</t>
        </is>
      </c>
      <c r="E37" s="5" t="inlineStr">
        <is>
          <t>Ja | Nein</t>
        </is>
      </c>
      <c r="F37" s="5" t="inlineStr">
        <is>
          <t>nur wenn F35 ausgefüllt</t>
        </is>
      </c>
      <c r="G37" s="5" t="inlineStr">
        <is>
          <t>Bei Ja werden 10.000 € vom Einkommen abgezogen.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8"/>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66" customWidth="1" min="3" max="3"/>
    <col width="40" customWidth="1" min="4" max="4"/>
  </cols>
  <sheetData>
    <row r="1">
      <c r="A1" s="3" t="inlineStr">
        <is>
          <t>Frage</t>
        </is>
      </c>
      <c r="B1" s="3" t="inlineStr">
        <is>
          <t>Antwort / Bedingung</t>
        </is>
      </c>
      <c r="C1" s="3" t="inlineStr">
        <is>
          <t>Aktion</t>
        </is>
      </c>
      <c r="D1" s="3" t="inlineStr">
        <is>
          <t>Bemerkung</t>
        </is>
      </c>
    </row>
    <row r="2">
      <c r="A2" s="4" t="inlineStr">
        <is>
          <t>F01</t>
        </is>
      </c>
      <c r="B2" s="4" t="inlineStr">
        <is>
          <t>Gas</t>
        </is>
      </c>
      <c r="C2" s="4" t="inlineStr">
        <is>
          <t>weiter</t>
        </is>
      </c>
      <c r="D2" s="4" t="inlineStr"/>
    </row>
    <row r="3">
      <c r="A3" s="4" t="inlineStr">
        <is>
          <t>F01</t>
        </is>
      </c>
      <c r="B3" s="4" t="inlineStr">
        <is>
          <t>Öl</t>
        </is>
      </c>
      <c r="C3" s="4" t="inlineStr">
        <is>
          <t>weiter – Öl-Zweig (F10–F12) wird aktiv</t>
        </is>
      </c>
      <c r="D3" s="4" t="inlineStr"/>
    </row>
    <row r="4">
      <c r="A4" s="4" t="inlineStr">
        <is>
          <t>F01</t>
        </is>
      </c>
      <c r="B4" s="4" t="inlineStr">
        <is>
          <t>Nachtspeicher</t>
        </is>
      </c>
      <c r="C4" s="4" t="inlineStr">
        <is>
          <t>ABBRUCH: Individuelles Angebot nötig – aktuelle Heizung nicht konfigurierbar</t>
        </is>
      </c>
      <c r="D4" s="4" t="inlineStr"/>
    </row>
    <row r="5">
      <c r="A5" s="4" t="inlineStr">
        <is>
          <t>F01</t>
        </is>
      </c>
      <c r="B5" s="4" t="inlineStr">
        <is>
          <t>Sonstiges</t>
        </is>
      </c>
      <c r="C5" s="4" t="inlineStr">
        <is>
          <t>ABBRUCH: Individuelles Angebot nötig – aktuelle Heizung nicht konfigurierbar</t>
        </is>
      </c>
      <c r="D5" s="4" t="inlineStr"/>
    </row>
    <row r="6">
      <c r="A6" s="5" t="inlineStr">
        <is>
          <t>F02</t>
        </is>
      </c>
      <c r="B6" s="5" t="inlineStr">
        <is>
          <t>0 – 8.000 kWh</t>
        </is>
      </c>
      <c r="C6" s="5" t="inlineStr">
        <is>
          <t>Leistungsklasse 4 kW merken</t>
        </is>
      </c>
      <c r="D6" s="5" t="inlineStr">
        <is>
          <t>Paket lt. Blatt Paketmatrix</t>
        </is>
      </c>
    </row>
    <row r="7">
      <c r="A7" s="5" t="inlineStr">
        <is>
          <t>F02</t>
        </is>
      </c>
      <c r="B7" s="5" t="inlineStr">
        <is>
          <t>8.001 – 13.999 kWh</t>
        </is>
      </c>
      <c r="C7" s="5" t="inlineStr">
        <is>
          <t>Leistungsklasse 6 kW merken</t>
        </is>
      </c>
      <c r="D7" s="5" t="inlineStr"/>
    </row>
    <row r="8">
      <c r="A8" s="5" t="inlineStr">
        <is>
          <t>F02</t>
        </is>
      </c>
      <c r="B8" s="5" t="inlineStr">
        <is>
          <t>14.000 – 19.999 kWh</t>
        </is>
      </c>
      <c r="C8" s="5" t="inlineStr">
        <is>
          <t>Leistungsklasse 7 kW merken</t>
        </is>
      </c>
      <c r="D8" s="5" t="inlineStr"/>
    </row>
    <row r="9">
      <c r="A9" s="5" t="inlineStr">
        <is>
          <t>F02</t>
        </is>
      </c>
      <c r="B9" s="5" t="inlineStr">
        <is>
          <t>20.000 – 25.999 kWh</t>
        </is>
      </c>
      <c r="C9" s="5" t="inlineStr">
        <is>
          <t>Leistungsklasse 10 kW merken</t>
        </is>
      </c>
      <c r="D9" s="5" t="inlineStr"/>
    </row>
    <row r="10">
      <c r="A10" s="5" t="inlineStr">
        <is>
          <t>F02</t>
        </is>
      </c>
      <c r="B10" s="5" t="inlineStr">
        <is>
          <t>26.000 – 31.000 kWh</t>
        </is>
      </c>
      <c r="C10" s="5" t="inlineStr">
        <is>
          <t>Leistungsklasse 13 kW merken</t>
        </is>
      </c>
      <c r="D10" s="5" t="inlineStr"/>
    </row>
    <row r="11">
      <c r="A11" s="5" t="inlineStr">
        <is>
          <t>F02</t>
        </is>
      </c>
      <c r="B11" s="5" t="inlineStr">
        <is>
          <t>über 31.000 kWh</t>
        </is>
      </c>
      <c r="C11" s="5" t="inlineStr">
        <is>
          <t>ABBRUCH: Individuelles Angebot nötig – Leistungsklasse zu hoch</t>
        </is>
      </c>
      <c r="D11" s="5" t="inlineStr"/>
    </row>
    <row r="12">
      <c r="A12" s="4" t="inlineStr">
        <is>
          <t>F03</t>
        </is>
      </c>
      <c r="B12" s="4" t="inlineStr">
        <is>
          <t>Ja</t>
        </is>
      </c>
      <c r="C12" s="4" t="inlineStr">
        <is>
          <t>Paketvariante 'mit Warmwasser'; Überschrift Block 1 in Variante 2</t>
        </is>
      </c>
      <c r="D12" s="4" t="inlineStr">
        <is>
          <t>F04 folgt</t>
        </is>
      </c>
    </row>
    <row r="13">
      <c r="A13" s="4" t="inlineStr">
        <is>
          <t>F03</t>
        </is>
      </c>
      <c r="B13" s="4" t="inlineStr">
        <is>
          <t>Nein</t>
        </is>
      </c>
      <c r="C13" s="4" t="inlineStr">
        <is>
          <t>Paketvariante 'ohne Warmwasser' (AWE lt. Paketmatrix)</t>
        </is>
      </c>
      <c r="D13" s="4" t="inlineStr"/>
    </row>
    <row r="14">
      <c r="A14" s="5" t="inlineStr">
        <is>
          <t>F04</t>
        </is>
      </c>
      <c r="B14" s="5" t="inlineStr">
        <is>
          <t>bis 200 l</t>
        </is>
      </c>
      <c r="C14" s="5" t="inlineStr">
        <is>
          <t>AWM-Paket lt. Paketmatrix (Speicher integriert)</t>
        </is>
      </c>
      <c r="D14" s="5" t="inlineStr"/>
    </row>
    <row r="15">
      <c r="A15" s="5" t="inlineStr">
        <is>
          <t>F04</t>
        </is>
      </c>
      <c r="B15" s="5" t="inlineStr">
        <is>
          <t>300 l</t>
        </is>
      </c>
      <c r="C15" s="5" t="inlineStr">
        <is>
          <t>AWE-Paket lt. Paketmatrix + Pos. 065 ×1</t>
        </is>
      </c>
      <c r="D15" s="5" t="inlineStr"/>
    </row>
    <row r="16">
      <c r="A16" s="5" t="inlineStr">
        <is>
          <t>F04</t>
        </is>
      </c>
      <c r="B16" s="5" t="inlineStr">
        <is>
          <t>mehr als 300 l</t>
        </is>
      </c>
      <c r="C16" s="5" t="inlineStr">
        <is>
          <t>ABBRUCH: Individuelles Angebot nötig – WW-Speichergröße zu groß</t>
        </is>
      </c>
      <c r="D16" s="5" t="inlineStr"/>
    </row>
    <row r="17">
      <c r="A17" s="4" t="inlineStr">
        <is>
          <t>F05</t>
        </is>
      </c>
      <c r="B17" s="4" t="inlineStr">
        <is>
          <t>KG oder EG</t>
        </is>
      </c>
      <c r="C17" s="4" t="inlineStr">
        <is>
          <t>F06 (Erdleitung) folgt</t>
        </is>
      </c>
      <c r="D17" s="4" t="inlineStr"/>
    </row>
    <row r="18">
      <c r="A18" s="4" t="inlineStr">
        <is>
          <t>F05</t>
        </is>
      </c>
      <c r="B18" s="4" t="inlineStr">
        <is>
          <t>OG oder DG</t>
        </is>
      </c>
      <c r="C18" s="4" t="inlineStr">
        <is>
          <t>F07 (Fassadenleitung) folgt</t>
        </is>
      </c>
      <c r="D18" s="4" t="inlineStr"/>
    </row>
    <row r="19">
      <c r="A19" s="4" t="inlineStr">
        <is>
          <t>F05</t>
        </is>
      </c>
      <c r="B19" s="4" t="inlineStr">
        <is>
          <t>Sonstige</t>
        </is>
      </c>
      <c r="C19" s="4" t="inlineStr">
        <is>
          <t>ABBRUCH: Individuelles Angebot nötig – Lage des Heizraums zzt. nicht konfigurierbar</t>
        </is>
      </c>
      <c r="D19" s="4" t="inlineStr"/>
    </row>
    <row r="20">
      <c r="A20" s="5" t="inlineStr">
        <is>
          <t>F06</t>
        </is>
      </c>
      <c r="B20" s="5" t="inlineStr">
        <is>
          <t>Meterzahl</t>
        </is>
      </c>
      <c r="C20" s="5" t="inlineStr">
        <is>
          <t>Artikel: Pos. 102 × eingegebene Meter</t>
        </is>
      </c>
      <c r="D20" s="5" t="inlineStr"/>
    </row>
    <row r="21">
      <c r="A21" s="4" t="inlineStr">
        <is>
          <t>F07</t>
        </is>
      </c>
      <c r="B21" s="4" t="inlineStr">
        <is>
          <t>Meterzahl</t>
        </is>
      </c>
      <c r="C21" s="4" t="inlineStr">
        <is>
          <t>Artikel: Pos. 134 × eingegebene Meter</t>
        </is>
      </c>
      <c r="D21" s="4" t="inlineStr"/>
    </row>
    <row r="22">
      <c r="A22" s="5" t="inlineStr">
        <is>
          <t>F08</t>
        </is>
      </c>
      <c r="B22" s="5" t="inlineStr">
        <is>
          <t>Boden</t>
        </is>
      </c>
      <c r="C22" s="5" t="inlineStr">
        <is>
          <t>Artikel: Pos. 010 ×1</t>
        </is>
      </c>
      <c r="D22" s="5" t="inlineStr"/>
    </row>
    <row r="23">
      <c r="A23" s="5" t="inlineStr">
        <is>
          <t>F08</t>
        </is>
      </c>
      <c r="B23" s="5" t="inlineStr">
        <is>
          <t>Garagendach</t>
        </is>
      </c>
      <c r="C23" s="5" t="inlineStr">
        <is>
          <t>Artikel: Pos. 132 ×1 + Pos. 135 ×1 als EP</t>
        </is>
      </c>
      <c r="D23" s="5" t="inlineStr">
        <is>
          <t>F09 folgt</t>
        </is>
      </c>
    </row>
    <row r="24">
      <c r="A24" s="5" t="inlineStr">
        <is>
          <t>F08</t>
        </is>
      </c>
      <c r="B24" s="5" t="inlineStr">
        <is>
          <t>Sonstiges</t>
        </is>
      </c>
      <c r="C24" s="5" t="inlineStr">
        <is>
          <t>ABBRUCH: Individuelles Angebot nötig – Aufstellort zzt. nicht konfigurierbar</t>
        </is>
      </c>
      <c r="D24" s="5" t="inlineStr"/>
    </row>
    <row r="25">
      <c r="A25" s="4" t="inlineStr">
        <is>
          <t>F09</t>
        </is>
      </c>
      <c r="B25" s="4" t="inlineStr">
        <is>
          <t>Ja</t>
        </is>
      </c>
      <c r="C25" s="4" t="inlineStr">
        <is>
          <t>Artikel: Pos. 133 ×1</t>
        </is>
      </c>
      <c r="D25" s="4" t="inlineStr"/>
    </row>
    <row r="26">
      <c r="A26" s="4" t="inlineStr">
        <is>
          <t>F09</t>
        </is>
      </c>
      <c r="B26" s="4" t="inlineStr">
        <is>
          <t>Nein</t>
        </is>
      </c>
      <c r="C26" s="4" t="inlineStr">
        <is>
          <t>–</t>
        </is>
      </c>
      <c r="D26" s="4" t="inlineStr"/>
    </row>
    <row r="27">
      <c r="A27" s="5" t="inlineStr">
        <is>
          <t>F10</t>
        </is>
      </c>
      <c r="B27" s="5" t="inlineStr">
        <is>
          <t>Ja</t>
        </is>
      </c>
      <c r="C27" s="5" t="inlineStr">
        <is>
          <t>F11 folgt</t>
        </is>
      </c>
      <c r="D27" s="5" t="inlineStr"/>
    </row>
    <row r="28">
      <c r="A28" s="5" t="inlineStr">
        <is>
          <t>F10</t>
        </is>
      </c>
      <c r="B28" s="5" t="inlineStr">
        <is>
          <t>Nein</t>
        </is>
      </c>
      <c r="C28" s="5" t="inlineStr">
        <is>
          <t>–</t>
        </is>
      </c>
      <c r="D28" s="5" t="inlineStr"/>
    </row>
    <row r="29">
      <c r="A29" s="4" t="inlineStr">
        <is>
          <t>F11</t>
        </is>
      </c>
      <c r="B29" s="4" t="inlineStr">
        <is>
          <t>Stahl oder Kunststoff</t>
        </is>
      </c>
      <c r="C29" s="4" t="inlineStr">
        <is>
          <t>F12 folgt</t>
        </is>
      </c>
      <c r="D29" s="4" t="inlineStr"/>
    </row>
    <row r="30">
      <c r="A30" s="4" t="inlineStr">
        <is>
          <t>F11</t>
        </is>
      </c>
      <c r="B30" s="4" t="inlineStr">
        <is>
          <t>Unterirdisch</t>
        </is>
      </c>
      <c r="C30" s="4" t="inlineStr">
        <is>
          <t>Artikel: Pos. 107 ×1 (Größenfrage entfällt)</t>
        </is>
      </c>
      <c r="D30" s="4" t="inlineStr"/>
    </row>
    <row r="31">
      <c r="A31" s="5" t="inlineStr">
        <is>
          <t>F12</t>
        </is>
      </c>
      <c r="B31" s="5" t="inlineStr">
        <is>
          <t>Kunststoff, bis 3.000 L</t>
        </is>
      </c>
      <c r="C31" s="5" t="inlineStr">
        <is>
          <t>Artikel: Z01 ×1</t>
        </is>
      </c>
      <c r="D31" s="5" t="inlineStr"/>
    </row>
    <row r="32">
      <c r="A32" s="5" t="inlineStr">
        <is>
          <t>F12</t>
        </is>
      </c>
      <c r="B32" s="5" t="inlineStr">
        <is>
          <t>Kunststoff, bis 4.000 L</t>
        </is>
      </c>
      <c r="C32" s="5" t="inlineStr">
        <is>
          <t>Artikel: Z02 ×1</t>
        </is>
      </c>
      <c r="D32" s="5" t="inlineStr"/>
    </row>
    <row r="33">
      <c r="A33" s="5" t="inlineStr">
        <is>
          <t>F12</t>
        </is>
      </c>
      <c r="B33" s="5" t="inlineStr">
        <is>
          <t>Kunststoff, bis 5.000 L</t>
        </is>
      </c>
      <c r="C33" s="5" t="inlineStr">
        <is>
          <t>Artikel: Z03 ×1</t>
        </is>
      </c>
      <c r="D33" s="5" t="inlineStr"/>
    </row>
    <row r="34">
      <c r="A34" s="5" t="inlineStr">
        <is>
          <t>F12</t>
        </is>
      </c>
      <c r="B34" s="5" t="inlineStr">
        <is>
          <t>Kunststoff, bis 6.000 L</t>
        </is>
      </c>
      <c r="C34" s="5" t="inlineStr">
        <is>
          <t>Artikel: Z04 ×1</t>
        </is>
      </c>
      <c r="D34" s="5" t="inlineStr"/>
    </row>
    <row r="35">
      <c r="A35" s="5" t="inlineStr">
        <is>
          <t>F12</t>
        </is>
      </c>
      <c r="B35" s="5" t="inlineStr">
        <is>
          <t>Kunststoff, bis 7.000 L</t>
        </is>
      </c>
      <c r="C35" s="5" t="inlineStr">
        <is>
          <t>Artikel: Z05 ×1</t>
        </is>
      </c>
      <c r="D35" s="5" t="inlineStr"/>
    </row>
    <row r="36">
      <c r="A36" s="5" t="inlineStr">
        <is>
          <t>F12</t>
        </is>
      </c>
      <c r="B36" s="5" t="inlineStr">
        <is>
          <t>Kunststoff, bis 8.000 L</t>
        </is>
      </c>
      <c r="C36" s="5" t="inlineStr">
        <is>
          <t>Artikel: Z06 ×1</t>
        </is>
      </c>
      <c r="D36" s="5" t="inlineStr"/>
    </row>
    <row r="37">
      <c r="A37" s="5" t="inlineStr">
        <is>
          <t>F12</t>
        </is>
      </c>
      <c r="B37" s="5" t="inlineStr">
        <is>
          <t>Kunststoff, bis 9.000 L</t>
        </is>
      </c>
      <c r="C37" s="5" t="inlineStr">
        <is>
          <t>Artikel: Z07 ×1</t>
        </is>
      </c>
      <c r="D37" s="5" t="inlineStr"/>
    </row>
    <row r="38">
      <c r="A38" s="5" t="inlineStr">
        <is>
          <t>F12</t>
        </is>
      </c>
      <c r="B38" s="5" t="inlineStr">
        <is>
          <t>Stahl, bis 3.000 L</t>
        </is>
      </c>
      <c r="C38" s="5" t="inlineStr">
        <is>
          <t>Artikel: Z08 ×1</t>
        </is>
      </c>
      <c r="D38" s="5" t="inlineStr"/>
    </row>
    <row r="39">
      <c r="A39" s="5" t="inlineStr">
        <is>
          <t>F12</t>
        </is>
      </c>
      <c r="B39" s="5" t="inlineStr">
        <is>
          <t>Stahl, bis 4.000 L</t>
        </is>
      </c>
      <c r="C39" s="5" t="inlineStr">
        <is>
          <t>Artikel: Z09 ×1</t>
        </is>
      </c>
      <c r="D39" s="5" t="inlineStr"/>
    </row>
    <row r="40">
      <c r="A40" s="5" t="inlineStr">
        <is>
          <t>F12</t>
        </is>
      </c>
      <c r="B40" s="5" t="inlineStr">
        <is>
          <t>Stahl, bis 5.000 L</t>
        </is>
      </c>
      <c r="C40" s="5" t="inlineStr">
        <is>
          <t>Artikel: Z10 ×1</t>
        </is>
      </c>
      <c r="D40" s="5" t="inlineStr"/>
    </row>
    <row r="41">
      <c r="A41" s="5" t="inlineStr">
        <is>
          <t>F12</t>
        </is>
      </c>
      <c r="B41" s="5" t="inlineStr">
        <is>
          <t>Stahl, bis 6.000 L</t>
        </is>
      </c>
      <c r="C41" s="5" t="inlineStr">
        <is>
          <t>Artikel: Z11 ×1</t>
        </is>
      </c>
      <c r="D41" s="5" t="inlineStr"/>
    </row>
    <row r="42">
      <c r="A42" s="5" t="inlineStr">
        <is>
          <t>F12</t>
        </is>
      </c>
      <c r="B42" s="5" t="inlineStr">
        <is>
          <t>Stahl, bis 7.000 L</t>
        </is>
      </c>
      <c r="C42" s="5" t="inlineStr">
        <is>
          <t>Artikel: Z12 ×1</t>
        </is>
      </c>
      <c r="D42" s="5" t="inlineStr"/>
    </row>
    <row r="43">
      <c r="A43" s="5" t="inlineStr">
        <is>
          <t>F12</t>
        </is>
      </c>
      <c r="B43" s="5" t="inlineStr">
        <is>
          <t>Stahl, bis 8.000 L</t>
        </is>
      </c>
      <c r="C43" s="5" t="inlineStr">
        <is>
          <t>Artikel: Z13 ×1</t>
        </is>
      </c>
      <c r="D43" s="5" t="inlineStr"/>
    </row>
    <row r="44">
      <c r="A44" s="5" t="inlineStr">
        <is>
          <t>F12</t>
        </is>
      </c>
      <c r="B44" s="5" t="inlineStr">
        <is>
          <t>Stahl, bis 9.000 L</t>
        </is>
      </c>
      <c r="C44" s="5" t="inlineStr">
        <is>
          <t>Artikel: Z14 ×1</t>
        </is>
      </c>
      <c r="D44" s="5" t="inlineStr"/>
    </row>
    <row r="45">
      <c r="A45" s="5" t="inlineStr">
        <is>
          <t>F12</t>
        </is>
      </c>
      <c r="B45" s="5" t="inlineStr">
        <is>
          <t>ab 9.000 L</t>
        </is>
      </c>
      <c r="C45" s="5" t="inlineStr">
        <is>
          <t>ABBRUCH: Individuelles Angebot nötig – Größe des Öl-Tanks nicht konfigurierbar</t>
        </is>
      </c>
      <c r="D45" s="5" t="inlineStr"/>
    </row>
    <row r="46">
      <c r="A46" s="4" t="inlineStr">
        <is>
          <t>F13</t>
        </is>
      </c>
      <c r="B46" s="4" t="inlineStr">
        <is>
          <t>50 l</t>
        </is>
      </c>
      <c r="C46" s="4" t="inlineStr">
        <is>
          <t>Artikel: Z15 ×1</t>
        </is>
      </c>
      <c r="D46" s="4" t="inlineStr"/>
    </row>
    <row r="47">
      <c r="A47" s="4" t="inlineStr">
        <is>
          <t>F13</t>
        </is>
      </c>
      <c r="B47" s="4" t="inlineStr">
        <is>
          <t>100 l</t>
        </is>
      </c>
      <c r="C47" s="4" t="inlineStr">
        <is>
          <t>Artikel: Z16 ×1</t>
        </is>
      </c>
      <c r="D47" s="4" t="inlineStr"/>
    </row>
    <row r="48">
      <c r="A48" s="4" t="inlineStr">
        <is>
          <t>F13</t>
        </is>
      </c>
      <c r="B48" s="4" t="inlineStr">
        <is>
          <t>200 l</t>
        </is>
      </c>
      <c r="C48" s="4" t="inlineStr">
        <is>
          <t>Artikel: Z17 ×1</t>
        </is>
      </c>
      <c r="D48" s="4" t="inlineStr"/>
    </row>
    <row r="49">
      <c r="A49" s="4" t="inlineStr">
        <is>
          <t>F13</t>
        </is>
      </c>
      <c r="B49" s="4" t="inlineStr">
        <is>
          <t>300 l</t>
        </is>
      </c>
      <c r="C49" s="4" t="inlineStr">
        <is>
          <t>Artikel: Pos. 098 ×1</t>
        </is>
      </c>
      <c r="D49" s="4" t="inlineStr"/>
    </row>
    <row r="50">
      <c r="A50" s="4" t="inlineStr">
        <is>
          <t>F13</t>
        </is>
      </c>
      <c r="B50" s="4" t="inlineStr">
        <is>
          <t>500 l</t>
        </is>
      </c>
      <c r="C50" s="4" t="inlineStr">
        <is>
          <t>Artikel: Pos. 099 ×1</t>
        </is>
      </c>
      <c r="D50" s="4" t="inlineStr"/>
    </row>
    <row r="51">
      <c r="A51" s="4" t="inlineStr">
        <is>
          <t>F13</t>
        </is>
      </c>
      <c r="B51" s="4" t="inlineStr">
        <is>
          <t>mehr als 500 l</t>
        </is>
      </c>
      <c r="C51" s="4" t="inlineStr">
        <is>
          <t>ABBRUCH: Individuelles Angebot nötig – Größe des Pufferspeichers nicht konfigurierbar</t>
        </is>
      </c>
      <c r="D51" s="4" t="inlineStr"/>
    </row>
    <row r="52">
      <c r="A52" s="5" t="inlineStr">
        <is>
          <t>F14</t>
        </is>
      </c>
      <c r="B52" s="5" t="inlineStr">
        <is>
          <t>1</t>
        </is>
      </c>
      <c r="C52" s="5" t="inlineStr">
        <is>
          <t>– (ein Heizkreis im WP-Paket enthalten)</t>
        </is>
      </c>
      <c r="D52" s="5" t="inlineStr"/>
    </row>
    <row r="53">
      <c r="A53" s="5" t="inlineStr">
        <is>
          <t>F14</t>
        </is>
      </c>
      <c r="B53" s="5" t="inlineStr">
        <is>
          <t>2</t>
        </is>
      </c>
      <c r="C53" s="5" t="inlineStr">
        <is>
          <t>Artikel: Pos. 090 ×1</t>
        </is>
      </c>
      <c r="D53" s="5" t="inlineStr"/>
    </row>
    <row r="54">
      <c r="A54" s="5" t="inlineStr">
        <is>
          <t>F14</t>
        </is>
      </c>
      <c r="B54" s="5" t="inlineStr">
        <is>
          <t>3</t>
        </is>
      </c>
      <c r="C54" s="5" t="inlineStr">
        <is>
          <t>Artikel: Pos. 090 ×2</t>
        </is>
      </c>
      <c r="D54" s="5" t="inlineStr"/>
    </row>
    <row r="55">
      <c r="A55" s="5" t="inlineStr">
        <is>
          <t>F14</t>
        </is>
      </c>
      <c r="B55" s="5" t="inlineStr">
        <is>
          <t>mehr als 3</t>
        </is>
      </c>
      <c r="C55" s="5" t="inlineStr">
        <is>
          <t>ABBRUCH: Individuelles Angebot nötig – Anzahl der Heizkreise nicht konfigurierbar</t>
        </is>
      </c>
      <c r="D55" s="5" t="inlineStr"/>
    </row>
    <row r="56">
      <c r="A56" s="4" t="inlineStr">
        <is>
          <t>F15</t>
        </is>
      </c>
      <c r="B56" s="4" t="inlineStr">
        <is>
          <t>Heizkörper</t>
        </is>
      </c>
      <c r="C56" s="4" t="inlineStr">
        <is>
          <t>Heizkörper-Block (F16–F17) folgt</t>
        </is>
      </c>
      <c r="D56" s="4" t="inlineStr"/>
    </row>
    <row r="57">
      <c r="A57" s="4" t="inlineStr">
        <is>
          <t>F15</t>
        </is>
      </c>
      <c r="B57" s="4" t="inlineStr">
        <is>
          <t>Fußbodenheizung</t>
        </is>
      </c>
      <c r="C57" s="4" t="inlineStr">
        <is>
          <t>FBH-Block (F18–F20) folgt</t>
        </is>
      </c>
      <c r="D57" s="4" t="inlineStr"/>
    </row>
    <row r="58">
      <c r="A58" s="4" t="inlineStr">
        <is>
          <t>F15</t>
        </is>
      </c>
      <c r="B58" s="4" t="inlineStr">
        <is>
          <t>Heizkörper und Fußbodenheizung</t>
        </is>
      </c>
      <c r="C58" s="4" t="inlineStr">
        <is>
          <t>beide Blöcke nacheinander (erst Heizkörper, dann FBH)</t>
        </is>
      </c>
      <c r="D58" s="4" t="inlineStr"/>
    </row>
    <row r="59">
      <c r="A59" s="4" t="inlineStr">
        <is>
          <t>F15</t>
        </is>
      </c>
      <c r="B59" s="4" t="inlineStr">
        <is>
          <t>Sonstiges</t>
        </is>
      </c>
      <c r="C59" s="4" t="inlineStr">
        <is>
          <t>ABBRUCH: Individuelles Angebot nötig – Verteilsystem nicht konfigurierbar</t>
        </is>
      </c>
      <c r="D59" s="4" t="inlineStr"/>
    </row>
    <row r="60">
      <c r="A60" s="5" t="inlineStr">
        <is>
          <t>F16</t>
        </is>
      </c>
      <c r="B60" s="5" t="inlineStr">
        <is>
          <t>Ja</t>
        </is>
      </c>
      <c r="C60" s="5" t="inlineStr">
        <is>
          <t>F17 folgt</t>
        </is>
      </c>
      <c r="D60" s="5" t="inlineStr"/>
    </row>
    <row r="61">
      <c r="A61" s="5" t="inlineStr">
        <is>
          <t>F16</t>
        </is>
      </c>
      <c r="B61" s="5" t="inlineStr">
        <is>
          <t>Nein</t>
        </is>
      </c>
      <c r="C61" s="5" t="inlineStr">
        <is>
          <t>–</t>
        </is>
      </c>
      <c r="D61" s="5" t="inlineStr"/>
    </row>
    <row r="62">
      <c r="A62" s="4" t="inlineStr">
        <is>
          <t>F17</t>
        </is>
      </c>
      <c r="B62" s="4" t="inlineStr">
        <is>
          <t>Anzahl S</t>
        </is>
      </c>
      <c r="C62" s="4" t="inlineStr">
        <is>
          <t>Artikel: Z18 × Anzahl</t>
        </is>
      </c>
      <c r="D62" s="4" t="inlineStr">
        <is>
          <t>zusätzlich Pos. 129 × Gesamtanzahl aller Heizkörper</t>
        </is>
      </c>
    </row>
    <row r="63">
      <c r="A63" s="4" t="inlineStr">
        <is>
          <t>F17</t>
        </is>
      </c>
      <c r="B63" s="4" t="inlineStr">
        <is>
          <t>Anzahl M</t>
        </is>
      </c>
      <c r="C63" s="4" t="inlineStr">
        <is>
          <t>Artikel: Pos. 130 × Anzahl</t>
        </is>
      </c>
      <c r="D63" s="4" t="inlineStr"/>
    </row>
    <row r="64">
      <c r="A64" s="4" t="inlineStr">
        <is>
          <t>F17</t>
        </is>
      </c>
      <c r="B64" s="4" t="inlineStr">
        <is>
          <t>Anzahl L</t>
        </is>
      </c>
      <c r="C64" s="4" t="inlineStr">
        <is>
          <t>Artikel: Z19 × Anzahl</t>
        </is>
      </c>
      <c r="D64" s="4" t="inlineStr"/>
    </row>
    <row r="65">
      <c r="A65" s="4" t="inlineStr">
        <is>
          <t>F17</t>
        </is>
      </c>
      <c r="B65" s="4" t="inlineStr">
        <is>
          <t>Anzahl XL</t>
        </is>
      </c>
      <c r="C65" s="4" t="inlineStr">
        <is>
          <t>Artikel: Pos. 131 × Anzahl</t>
        </is>
      </c>
      <c r="D65" s="4" t="inlineStr"/>
    </row>
    <row r="66">
      <c r="A66" s="5" t="inlineStr">
        <is>
          <t>F18</t>
        </is>
      </c>
      <c r="B66" s="5" t="inlineStr">
        <is>
          <t>Ja</t>
        </is>
      </c>
      <c r="C66" s="5" t="inlineStr">
        <is>
          <t>–</t>
        </is>
      </c>
      <c r="D66" s="5" t="inlineStr"/>
    </row>
    <row r="67">
      <c r="A67" s="5" t="inlineStr">
        <is>
          <t>F18</t>
        </is>
      </c>
      <c r="B67" s="5" t="inlineStr">
        <is>
          <t>Nein</t>
        </is>
      </c>
      <c r="C67" s="5" t="inlineStr">
        <is>
          <t>F19 und F20 folgen</t>
        </is>
      </c>
      <c r="D67" s="5" t="inlineStr"/>
    </row>
    <row r="68">
      <c r="A68" s="4" t="inlineStr">
        <is>
          <t>F19</t>
        </is>
      </c>
      <c r="B68" s="4" t="inlineStr">
        <is>
          <t>Anzahl</t>
        </is>
      </c>
      <c r="C68" s="4" t="inlineStr">
        <is>
          <t>Artikel: Pos. 108 × Anzahl Verteiler</t>
        </is>
      </c>
      <c r="D68" s="4" t="inlineStr">
        <is>
          <t>Einbaupauschale je Verteiler</t>
        </is>
      </c>
    </row>
    <row r="69">
      <c r="A69" s="5" t="inlineStr">
        <is>
          <t>F20</t>
        </is>
      </c>
      <c r="B69" s="5" t="inlineStr">
        <is>
          <t>bis 4 Gruppen</t>
        </is>
      </c>
      <c r="C69" s="5" t="inlineStr">
        <is>
          <t>Artikel: Z20 ×1 (je Verteiler)</t>
        </is>
      </c>
      <c r="D69" s="5" t="inlineStr">
        <is>
          <t>gleiche Größen werden zusammengefasst</t>
        </is>
      </c>
    </row>
    <row r="70">
      <c r="A70" s="5" t="inlineStr">
        <is>
          <t>F20</t>
        </is>
      </c>
      <c r="B70" s="5" t="inlineStr">
        <is>
          <t>5 – 8 Gruppen</t>
        </is>
      </c>
      <c r="C70" s="5" t="inlineStr">
        <is>
          <t>Artikel: Pos. 109 ×1 (je Verteiler)</t>
        </is>
      </c>
      <c r="D70" s="5" t="inlineStr"/>
    </row>
    <row r="71">
      <c r="A71" s="5" t="inlineStr">
        <is>
          <t>F20</t>
        </is>
      </c>
      <c r="B71" s="5" t="inlineStr">
        <is>
          <t>9 – 14 Gruppen</t>
        </is>
      </c>
      <c r="C71" s="5" t="inlineStr">
        <is>
          <t>Artikel: Z21 ×1 (je Verteiler)</t>
        </is>
      </c>
      <c r="D71" s="5" t="inlineStr"/>
    </row>
    <row r="72">
      <c r="A72" s="5" t="inlineStr">
        <is>
          <t>F20</t>
        </is>
      </c>
      <c r="B72" s="5" t="inlineStr">
        <is>
          <t>über 14 Gruppen</t>
        </is>
      </c>
      <c r="C72" s="5" t="inlineStr">
        <is>
          <t>ABBRUCH: Individuelles Angebot nötig – Gruppenanzahl Heizkreisverteiler nicht konfigurierbar</t>
        </is>
      </c>
      <c r="D72" s="5" t="inlineStr"/>
    </row>
    <row r="73">
      <c r="A73" s="4" t="inlineStr">
        <is>
          <t>F21</t>
        </is>
      </c>
      <c r="B73" s="4" t="inlineStr">
        <is>
          <t>KG / EG / OG / DG</t>
        </is>
      </c>
      <c r="C73" s="4" t="inlineStr">
        <is>
          <t>– (nur Protokoll)</t>
        </is>
      </c>
      <c r="D73" s="4" t="inlineStr"/>
    </row>
    <row r="74">
      <c r="A74" s="4" t="inlineStr">
        <is>
          <t>F21</t>
        </is>
      </c>
      <c r="B74" s="4" t="inlineStr">
        <is>
          <t>Sonstiges</t>
        </is>
      </c>
      <c r="C74" s="4" t="inlineStr">
        <is>
          <t>ABBRUCH: Individuelles Angebot nötig – ZV-Lage nicht konfigurierbar</t>
        </is>
      </c>
      <c r="D74" s="4" t="inlineStr"/>
    </row>
    <row r="75">
      <c r="A75" s="5" t="inlineStr">
        <is>
          <t>F22</t>
        </is>
      </c>
      <c r="B75" s="5" t="inlineStr">
        <is>
          <t>Ja</t>
        </is>
      </c>
      <c r="C75" s="5" t="inlineStr">
        <is>
          <t>F23 folgt</t>
        </is>
      </c>
      <c r="D75" s="5" t="inlineStr"/>
    </row>
    <row r="76">
      <c r="A76" s="5" t="inlineStr">
        <is>
          <t>F22</t>
        </is>
      </c>
      <c r="B76" s="5" t="inlineStr">
        <is>
          <t>Nein</t>
        </is>
      </c>
      <c r="C76" s="5" t="inlineStr">
        <is>
          <t>F24–F26 folgen (Nachrüst-Checkliste)</t>
        </is>
      </c>
      <c r="D76" s="5" t="inlineStr"/>
    </row>
    <row r="77">
      <c r="A77" s="4" t="inlineStr">
        <is>
          <t>F23</t>
        </is>
      </c>
      <c r="B77" s="4" t="inlineStr">
        <is>
          <t>2-Feld</t>
        </is>
      </c>
      <c r="C77" s="4" t="inlineStr">
        <is>
          <t>Artikel: Pos. 104 ×1</t>
        </is>
      </c>
      <c r="D77" s="4" t="inlineStr"/>
    </row>
    <row r="78">
      <c r="A78" s="4" t="inlineStr">
        <is>
          <t>F23</t>
        </is>
      </c>
      <c r="B78" s="4" t="inlineStr">
        <is>
          <t>3-Feld</t>
        </is>
      </c>
      <c r="C78" s="4" t="inlineStr">
        <is>
          <t>Artikel: Z22 ×1</t>
        </is>
      </c>
      <c r="D78" s="4" t="inlineStr"/>
    </row>
    <row r="79">
      <c r="A79" s="4" t="inlineStr">
        <is>
          <t>F23</t>
        </is>
      </c>
      <c r="B79" s="4" t="inlineStr">
        <is>
          <t>4-Feld und mehr</t>
        </is>
      </c>
      <c r="C79" s="4" t="inlineStr">
        <is>
          <t>ABBRUCH: Individuelles Angebot nötig – Zählerverteilung nicht konfigurierbar</t>
        </is>
      </c>
      <c r="D79" s="4" t="inlineStr"/>
    </row>
    <row r="80">
      <c r="A80" s="5" t="inlineStr">
        <is>
          <t>F24</t>
        </is>
      </c>
      <c r="B80" s="5" t="inlineStr">
        <is>
          <t>Nein</t>
        </is>
      </c>
      <c r="C80" s="5" t="inlineStr">
        <is>
          <t>Artikel: Pos. 149 ×1</t>
        </is>
      </c>
      <c r="D80" s="5" t="inlineStr">
        <is>
          <t>Ja = nichts</t>
        </is>
      </c>
    </row>
    <row r="81">
      <c r="A81" s="4" t="inlineStr">
        <is>
          <t>F25</t>
        </is>
      </c>
      <c r="B81" s="4" t="inlineStr">
        <is>
          <t>Nein</t>
        </is>
      </c>
      <c r="C81" s="4" t="inlineStr">
        <is>
          <t>Artikel: Pos. 150 ×1</t>
        </is>
      </c>
      <c r="D81" s="4" t="inlineStr">
        <is>
          <t>Ja = nichts</t>
        </is>
      </c>
    </row>
    <row r="82">
      <c r="A82" s="5" t="inlineStr">
        <is>
          <t>F26</t>
        </is>
      </c>
      <c r="B82" s="5" t="inlineStr">
        <is>
          <t>Nein</t>
        </is>
      </c>
      <c r="C82" s="5" t="inlineStr">
        <is>
          <t>Artikel: Pos. 153 ×1</t>
        </is>
      </c>
      <c r="D82" s="5" t="inlineStr">
        <is>
          <t>Ja = nichts</t>
        </is>
      </c>
    </row>
    <row r="83">
      <c r="A83" s="4" t="inlineStr">
        <is>
          <t>F27</t>
        </is>
      </c>
      <c r="B83" s="4" t="inlineStr">
        <is>
          <t>Ja</t>
        </is>
      </c>
      <c r="C83" s="4" t="inlineStr">
        <is>
          <t>Artikel: Pos. 015 ×1</t>
        </is>
      </c>
      <c r="D83" s="4" t="inlineStr"/>
    </row>
    <row r="84">
      <c r="A84" s="5" t="inlineStr">
        <is>
          <t>F28</t>
        </is>
      </c>
      <c r="B84" s="5" t="inlineStr">
        <is>
          <t>Ja</t>
        </is>
      </c>
      <c r="C84" s="5" t="inlineStr">
        <is>
          <t>Artikel: Pos. 016 ×1</t>
        </is>
      </c>
      <c r="D84" s="5" t="inlineStr"/>
    </row>
    <row r="85">
      <c r="A85" s="4" t="inlineStr">
        <is>
          <t>F29</t>
        </is>
      </c>
      <c r="B85" s="4" t="inlineStr">
        <is>
          <t>Ja</t>
        </is>
      </c>
      <c r="C85" s="4" t="inlineStr">
        <is>
          <t>Artikel: Pos. 017 ×1</t>
        </is>
      </c>
      <c r="D85" s="4" t="inlineStr"/>
    </row>
    <row r="86">
      <c r="A86" s="5" t="inlineStr">
        <is>
          <t>Gruppen-Trigger</t>
        </is>
      </c>
      <c r="B86" s="5" t="inlineStr">
        <is>
          <t>mind. ein Ja bei F27–F29</t>
        </is>
      </c>
      <c r="C86" s="5" t="inlineStr">
        <is>
          <t>Artikel: Pos. 014 ×1, direkt vor den gewählten Friondo-Positionen</t>
        </is>
      </c>
      <c r="D86" s="5" t="inlineStr">
        <is>
          <t>599 € einmalig, unabhängig von der Anzahl</t>
        </is>
      </c>
    </row>
    <row r="87">
      <c r="A87" s="4" t="inlineStr">
        <is>
          <t>Grundpaket</t>
        </is>
      </c>
      <c r="B87" s="4" t="inlineStr">
        <is>
          <t>immer</t>
        </is>
      </c>
      <c r="C87" s="4" t="inlineStr">
        <is>
          <t>Artikel: Pos. 003, 005, 006, 007 (EP), 008, 009, 011, 012, 013</t>
        </is>
      </c>
      <c r="D87" s="4" t="inlineStr">
        <is>
          <t>Einsortierung lt. Blatt Angebotsaufbau</t>
        </is>
      </c>
    </row>
    <row r="88">
      <c r="A88" s="5" t="inlineStr">
        <is>
          <t>F30–F36</t>
        </is>
      </c>
      <c r="B88" s="5" t="inlineStr">
        <is>
          <t>KfW-Angaben</t>
        </is>
      </c>
      <c r="C88" s="5" t="inlineStr">
        <is>
          <t>keine Artikel – Eingaben für Förderberechnung lt. Blatt KfW</t>
        </is>
      </c>
      <c r="D88"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30" customWidth="1" min="4" max="4"/>
    <col width="26" customWidth="1" min="5" max="5"/>
  </cols>
  <sheetData>
    <row r="1">
      <c r="A1" s="3" t="inlineStr">
        <is>
          <t>Leistungsklasse</t>
        </is>
      </c>
      <c r="B1" s="3" t="inlineStr">
        <is>
          <t>Verbrauch (F02)</t>
        </is>
      </c>
      <c r="C1" s="3" t="inlineStr">
        <is>
          <t>WW bis 200 l (F04)</t>
        </is>
      </c>
      <c r="D1" s="3" t="inlineStr">
        <is>
          <t>ohne Warmwasser (F03 = Nein)</t>
        </is>
      </c>
      <c r="E1" s="3" t="inlineStr">
        <is>
          <t>WW 300 l (F04)</t>
        </is>
      </c>
    </row>
    <row r="2">
      <c r="A2" s="5" t="inlineStr">
        <is>
          <t>4 kW</t>
        </is>
      </c>
      <c r="B2" s="5" t="inlineStr">
        <is>
          <t>0 – 8.000 kWh</t>
        </is>
      </c>
      <c r="C2" s="5" t="inlineStr">
        <is>
          <t>Pos. 045 (CS3800i AWM 4)</t>
        </is>
      </c>
      <c r="D2" s="5" t="inlineStr">
        <is>
          <t>Pos. 050 (CS3800i AWE 4)</t>
        </is>
      </c>
      <c r="E2" s="5" t="inlineStr">
        <is>
          <t>Pos. 050 + Pos. 065</t>
        </is>
      </c>
    </row>
    <row r="3">
      <c r="A3" s="5" t="inlineStr">
        <is>
          <t>6 kW</t>
        </is>
      </c>
      <c r="B3" s="5" t="inlineStr">
        <is>
          <t>8.001 – 13.999 kWh</t>
        </is>
      </c>
      <c r="C3" s="5" t="inlineStr">
        <is>
          <t>Pos. 046 (AWM 6)</t>
        </is>
      </c>
      <c r="D3" s="5" t="inlineStr">
        <is>
          <t>Pos. 051 (AWE 6)</t>
        </is>
      </c>
      <c r="E3" s="5" t="inlineStr">
        <is>
          <t>Pos. 051 + Pos. 065</t>
        </is>
      </c>
    </row>
    <row r="4">
      <c r="A4" s="5" t="inlineStr">
        <is>
          <t>7 kW</t>
        </is>
      </c>
      <c r="B4" s="5" t="inlineStr">
        <is>
          <t>14.000 – 19.999 kWh</t>
        </is>
      </c>
      <c r="C4" s="5" t="inlineStr">
        <is>
          <t>Pos. 047 (AWM 7)</t>
        </is>
      </c>
      <c r="D4" s="5" t="inlineStr">
        <is>
          <t>Pos. 052 (AWE 7)</t>
        </is>
      </c>
      <c r="E4" s="5" t="inlineStr">
        <is>
          <t>Pos. 052 + Pos. 065</t>
        </is>
      </c>
    </row>
    <row r="5">
      <c r="A5" s="5" t="inlineStr">
        <is>
          <t>10 kW</t>
        </is>
      </c>
      <c r="B5" s="5" t="inlineStr">
        <is>
          <t>20.000 – 25.999 kWh</t>
        </is>
      </c>
      <c r="C5" s="5" t="inlineStr">
        <is>
          <t>Pos. 048 (AWM 10)</t>
        </is>
      </c>
      <c r="D5" s="5" t="inlineStr">
        <is>
          <t>Pos. 053 (AWE 10)</t>
        </is>
      </c>
      <c r="E5" s="5" t="inlineStr">
        <is>
          <t>Pos. 053 + Pos. 065</t>
        </is>
      </c>
    </row>
    <row r="6">
      <c r="A6" s="5" t="inlineStr">
        <is>
          <t>13 kW</t>
        </is>
      </c>
      <c r="B6" s="5" t="inlineStr">
        <is>
          <t>26.000 – 31.000 kWh</t>
        </is>
      </c>
      <c r="C6" s="5" t="inlineStr">
        <is>
          <t>Pos. 049 (AWM 13)</t>
        </is>
      </c>
      <c r="D6" s="5" t="inlineStr">
        <is>
          <t>Pos. 054 (AWE 13)</t>
        </is>
      </c>
      <c r="E6" s="5" t="inlineStr">
        <is>
          <t>Pos. 054 + Pos. 065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6" customWidth="1" min="1" max="1"/>
    <col width="58" customWidth="1" min="2" max="2"/>
    <col width="9" customWidth="1" min="3" max="3"/>
    <col width="16" customWidth="1" min="4" max="4"/>
    <col width="60" customWidth="1" min="5" max="5"/>
  </cols>
  <sheetData>
    <row r="1">
      <c r="A1" s="3" t="inlineStr">
        <is>
          <t>Nr.</t>
        </is>
      </c>
      <c r="B1" s="3" t="inlineStr">
        <is>
          <t>Bezeichnung</t>
        </is>
      </c>
      <c r="C1" s="3" t="inlineStr">
        <is>
          <t>Einheit</t>
        </is>
      </c>
      <c r="D1" s="3" t="inlineStr">
        <is>
          <t>VK-Preis netto (€)</t>
        </is>
      </c>
      <c r="E1" s="3" t="inlineStr">
        <is>
          <t>Beschreibung / Textquelle</t>
        </is>
      </c>
    </row>
    <row r="2">
      <c r="A2" s="5" t="inlineStr">
        <is>
          <t>Z01</t>
        </is>
      </c>
      <c r="B2" s="5" t="inlineStr">
        <is>
          <t>Öltank-Entsorgung Kunststofftank bis 3.000 L</t>
        </is>
      </c>
      <c r="C2" s="5" t="inlineStr">
        <is>
          <t>psl.</t>
        </is>
      </c>
      <c r="D2" s="6" t="n">
        <v>912</v>
      </c>
      <c r="E2" s="5" t="inlineStr">
        <is>
          <t>Leistungsumfang analog Pos. 125 der Preisliste (An-/Abfahrt, Abpumpen des Restöls, fachgerechte Entsorgung, Reinigung). Beim Import Beschreibungstext von Pos. 125 übernehmen und Material/Größe anpassen.</t>
        </is>
      </c>
    </row>
    <row r="3">
      <c r="A3" s="5" t="inlineStr">
        <is>
          <t>Z02</t>
        </is>
      </c>
      <c r="B3" s="5" t="inlineStr">
        <is>
          <t>Öltank-Entsorgung Kunststofftank bis 4.000 L</t>
        </is>
      </c>
      <c r="C3" s="5" t="inlineStr">
        <is>
          <t>psl.</t>
        </is>
      </c>
      <c r="D3" s="6" t="n">
        <v>1086</v>
      </c>
      <c r="E3" s="5" t="inlineStr">
        <is>
          <t>Leistungsumfang analog Pos. 125 der Preisliste (An-/Abfahrt, Abpumpen des Restöls, fachgerechte Entsorgung, Reinigung). Beim Import Beschreibungstext von Pos. 125 übernehmen und Material/Größe anpassen.</t>
        </is>
      </c>
    </row>
    <row r="4">
      <c r="A4" s="5" t="inlineStr">
        <is>
          <t>Z03</t>
        </is>
      </c>
      <c r="B4" s="5" t="inlineStr">
        <is>
          <t>Öltank-Entsorgung Kunststofftank bis 5.000 L</t>
        </is>
      </c>
      <c r="C4" s="5" t="inlineStr">
        <is>
          <t>psl.</t>
        </is>
      </c>
      <c r="D4" s="6" t="n">
        <v>1248</v>
      </c>
      <c r="E4" s="5" t="inlineStr">
        <is>
          <t>Leistungsumfang analog Pos. 125 der Preisliste (An-/Abfahrt, Abpumpen des Restöls, fachgerechte Entsorgung, Reinigung). Beim Import Beschreibungstext von Pos. 125 übernehmen und Material/Größe anpassen.</t>
        </is>
      </c>
    </row>
    <row r="5">
      <c r="A5" s="5" t="inlineStr">
        <is>
          <t>Z04</t>
        </is>
      </c>
      <c r="B5" s="5" t="inlineStr">
        <is>
          <t>Öltank-Entsorgung Kunststofftank bis 6.000 L</t>
        </is>
      </c>
      <c r="C5" s="5" t="inlineStr">
        <is>
          <t>psl.</t>
        </is>
      </c>
      <c r="D5" s="6" t="n">
        <v>1428</v>
      </c>
      <c r="E5" s="5" t="inlineStr">
        <is>
          <t>Leistungsumfang analog Pos. 125 der Preisliste (An-/Abfahrt, Abpumpen des Restöls, fachgerechte Entsorgung, Reinigung). Beim Import Beschreibungstext von Pos. 125 übernehmen und Material/Größe anpassen.</t>
        </is>
      </c>
    </row>
    <row r="6">
      <c r="A6" s="5" t="inlineStr">
        <is>
          <t>Z05</t>
        </is>
      </c>
      <c r="B6" s="5" t="inlineStr">
        <is>
          <t>Öltank-Entsorgung Kunststofftank bis 7.000 L</t>
        </is>
      </c>
      <c r="C6" s="5" t="inlineStr">
        <is>
          <t>psl.</t>
        </is>
      </c>
      <c r="D6" s="6" t="n">
        <v>1608</v>
      </c>
      <c r="E6" s="5" t="inlineStr">
        <is>
          <t>Leistungsumfang analog Pos. 125 der Preisliste (An-/Abfahrt, Abpumpen des Restöls, fachgerechte Entsorgung, Reinigung). Beim Import Beschreibungstext von Pos. 125 übernehmen und Material/Größe anpassen.</t>
        </is>
      </c>
    </row>
    <row r="7">
      <c r="A7" s="5" t="inlineStr">
        <is>
          <t>Z06</t>
        </is>
      </c>
      <c r="B7" s="5" t="inlineStr">
        <is>
          <t>Öltank-Entsorgung Kunststofftank bis 8.000 L</t>
        </is>
      </c>
      <c r="C7" s="5" t="inlineStr">
        <is>
          <t>psl.</t>
        </is>
      </c>
      <c r="D7" s="6" t="n">
        <v>1776</v>
      </c>
      <c r="E7" s="5" t="inlineStr">
        <is>
          <t>Leistungsumfang analog Pos. 125 der Preisliste (An-/Abfahrt, Abpumpen des Restöls, fachgerechte Entsorgung, Reinigung). Beim Import Beschreibungstext von Pos. 125 übernehmen und Material/Größe anpassen.</t>
        </is>
      </c>
    </row>
    <row r="8">
      <c r="A8" s="5" t="inlineStr">
        <is>
          <t>Z07</t>
        </is>
      </c>
      <c r="B8" s="5" t="inlineStr">
        <is>
          <t>Öltank-Entsorgung Kunststofftank bis 9.000 L</t>
        </is>
      </c>
      <c r="C8" s="5" t="inlineStr">
        <is>
          <t>psl.</t>
        </is>
      </c>
      <c r="D8" s="6" t="n">
        <v>1944</v>
      </c>
      <c r="E8" s="5" t="inlineStr">
        <is>
          <t>Leistungsumfang analog Pos. 125 der Preisliste (An-/Abfahrt, Abpumpen des Restöls, fachgerechte Entsorgung, Reinigung). Beim Import Beschreibungstext von Pos. 125 übernehmen und Material/Größe anpassen.</t>
        </is>
      </c>
    </row>
    <row r="9">
      <c r="A9" s="5" t="inlineStr">
        <is>
          <t>Z08</t>
        </is>
      </c>
      <c r="B9" s="5" t="inlineStr">
        <is>
          <t>Öltank-Entsorgung Stahltank bis 3.000 L</t>
        </is>
      </c>
      <c r="C9" s="5" t="inlineStr">
        <is>
          <t>psl.</t>
        </is>
      </c>
      <c r="D9" s="6" t="n">
        <v>1260</v>
      </c>
      <c r="E9" s="5" t="inlineStr">
        <is>
          <t>Leistungsumfang analog Pos. 125 der Preisliste (An-/Abfahrt, Abpumpen des Restöls, fachgerechte Entsorgung, Reinigung). Beim Import Beschreibungstext von Pos. 125 übernehmen und Material/Größe anpassen.</t>
        </is>
      </c>
    </row>
    <row r="10">
      <c r="A10" s="5" t="inlineStr">
        <is>
          <t>Z09</t>
        </is>
      </c>
      <c r="B10" s="5" t="inlineStr">
        <is>
          <t>Öltank-Entsorgung Stahltank bis 4.000 L</t>
        </is>
      </c>
      <c r="C10" s="5" t="inlineStr">
        <is>
          <t>psl.</t>
        </is>
      </c>
      <c r="D10" s="6" t="n">
        <v>1554</v>
      </c>
      <c r="E10" s="5" t="inlineStr">
        <is>
          <t>Leistungsumfang analog Pos. 125 der Preisliste (An-/Abfahrt, Abpumpen des Restöls, fachgerechte Entsorgung, Reinigung). Beim Import Beschreibungstext von Pos. 125 übernehmen und Material/Größe anpassen.</t>
        </is>
      </c>
    </row>
    <row r="11">
      <c r="A11" s="5" t="inlineStr">
        <is>
          <t>Z10</t>
        </is>
      </c>
      <c r="B11" s="5" t="inlineStr">
        <is>
          <t>Öltank-Entsorgung Stahltank bis 5.000 L</t>
        </is>
      </c>
      <c r="C11" s="5" t="inlineStr">
        <is>
          <t>psl.</t>
        </is>
      </c>
      <c r="D11" s="6" t="n">
        <v>1812</v>
      </c>
      <c r="E11" s="5" t="inlineStr">
        <is>
          <t>Leistungsumfang analog Pos. 125 der Preisliste (An-/Abfahrt, Abpumpen des Restöls, fachgerechte Entsorgung, Reinigung). Beim Import Beschreibungstext von Pos. 125 übernehmen und Material/Größe anpassen.</t>
        </is>
      </c>
    </row>
    <row r="12">
      <c r="A12" s="5" t="inlineStr">
        <is>
          <t>Z11</t>
        </is>
      </c>
      <c r="B12" s="5" t="inlineStr">
        <is>
          <t>Öltank-Entsorgung Stahltank bis 6.000 L</t>
        </is>
      </c>
      <c r="C12" s="5" t="inlineStr">
        <is>
          <t>psl.</t>
        </is>
      </c>
      <c r="D12" s="6" t="n">
        <v>2064</v>
      </c>
      <c r="E12" s="5" t="inlineStr">
        <is>
          <t>Leistungsumfang analog Pos. 125 der Preisliste (An-/Abfahrt, Abpumpen des Restöls, fachgerechte Entsorgung, Reinigung). Beim Import Beschreibungstext von Pos. 125 übernehmen und Material/Größe anpassen.</t>
        </is>
      </c>
    </row>
    <row r="13">
      <c r="A13" s="5" t="inlineStr">
        <is>
          <t>Z12</t>
        </is>
      </c>
      <c r="B13" s="5" t="inlineStr">
        <is>
          <t>Öltank-Entsorgung Stahltank bis 7.000 L</t>
        </is>
      </c>
      <c r="C13" s="5" t="inlineStr">
        <is>
          <t>psl.</t>
        </is>
      </c>
      <c r="D13" s="6" t="n">
        <v>2328</v>
      </c>
      <c r="E13" s="5" t="inlineStr">
        <is>
          <t>Leistungsumfang analog Pos. 125 der Preisliste (An-/Abfahrt, Abpumpen des Restöls, fachgerechte Entsorgung, Reinigung). Beim Import Beschreibungstext von Pos. 125 übernehmen und Material/Größe anpassen.</t>
        </is>
      </c>
    </row>
    <row r="14">
      <c r="A14" s="5" t="inlineStr">
        <is>
          <t>Z13</t>
        </is>
      </c>
      <c r="B14" s="5" t="inlineStr">
        <is>
          <t>Öltank-Entsorgung Stahltank bis 8.000 L</t>
        </is>
      </c>
      <c r="C14" s="5" t="inlineStr">
        <is>
          <t>psl.</t>
        </is>
      </c>
      <c r="D14" s="6" t="n">
        <v>2592</v>
      </c>
      <c r="E14" s="5" t="inlineStr">
        <is>
          <t>Leistungsumfang analog Pos. 125 der Preisliste (An-/Abfahrt, Abpumpen des Restöls, fachgerechte Entsorgung, Reinigung). Beim Import Beschreibungstext von Pos. 125 übernehmen und Material/Größe anpassen.</t>
        </is>
      </c>
    </row>
    <row r="15">
      <c r="A15" s="5" t="inlineStr">
        <is>
          <t>Z14</t>
        </is>
      </c>
      <c r="B15" s="5" t="inlineStr">
        <is>
          <t>Öltank-Entsorgung Stahltank bis 9.000 L</t>
        </is>
      </c>
      <c r="C15" s="5" t="inlineStr">
        <is>
          <t>psl.</t>
        </is>
      </c>
      <c r="D15" s="6" t="n">
        <v>2850</v>
      </c>
      <c r="E15" s="5" t="inlineStr">
        <is>
          <t>Leistungsumfang analog Pos. 125 der Preisliste (An-/Abfahrt, Abpumpen des Restöls, fachgerechte Entsorgung, Reinigung). Beim Import Beschreibungstext von Pos. 125 übernehmen und Material/Größe anpassen.</t>
        </is>
      </c>
    </row>
    <row r="16">
      <c r="A16" s="5" t="inlineStr">
        <is>
          <t>Z15</t>
        </is>
      </c>
      <c r="B16" s="5" t="inlineStr">
        <is>
          <t>Wärmepumpen-Pufferspeicher BST 50 Ehp 540x530</t>
        </is>
      </c>
      <c r="C16" s="5" t="inlineStr">
        <is>
          <t>Stück</t>
        </is>
      </c>
      <c r="D16" s="6" t="n">
        <v>405</v>
      </c>
      <c r="E16" s="5" t="inlineStr"/>
    </row>
    <row r="17">
      <c r="A17" s="5" t="inlineStr">
        <is>
          <t>Z16</t>
        </is>
      </c>
      <c r="B17" s="5" t="inlineStr">
        <is>
          <t>Wärmepumpen-Pufferspeicher 100 Ltr. EEK</t>
        </is>
      </c>
      <c r="C17" s="5" t="inlineStr">
        <is>
          <t>Stück</t>
        </is>
      </c>
      <c r="D17" s="6" t="n">
        <v>645</v>
      </c>
      <c r="E17" s="5" t="inlineStr"/>
    </row>
    <row r="18">
      <c r="A18" s="5" t="inlineStr">
        <is>
          <t>Z17</t>
        </is>
      </c>
      <c r="B18" s="5" t="inlineStr">
        <is>
          <t>Wärmepumpen-Pufferspeicher 200 Ltr. EEK</t>
        </is>
      </c>
      <c r="C18" s="5" t="inlineStr">
        <is>
          <t>Stück</t>
        </is>
      </c>
      <c r="D18" s="6" t="n">
        <v>1105</v>
      </c>
      <c r="E18" s="5" t="inlineStr"/>
    </row>
    <row r="19">
      <c r="A19" s="5" t="inlineStr">
        <is>
          <t>Z18</t>
        </is>
      </c>
      <c r="B19" s="5" t="inlineStr">
        <is>
          <t>Profil-Kompakt Flachheizkörper Typ 33, (H x L), inkl. Ventil und Thermostat Größe S</t>
        </is>
      </c>
      <c r="C19" s="5" t="inlineStr">
        <is>
          <t>Stück</t>
        </is>
      </c>
      <c r="D19" s="6" t="n">
        <v>485</v>
      </c>
      <c r="E19" s="5" t="inlineStr">
        <is>
          <t>Textmuster analog Pos. 130/131 der Preisliste, Größe entsprechend anpassen.</t>
        </is>
      </c>
    </row>
    <row r="20">
      <c r="A20" s="5" t="inlineStr">
        <is>
          <t>Z19</t>
        </is>
      </c>
      <c r="B20" s="5" t="inlineStr">
        <is>
          <t>Profil-Kompakt Flachheizkörper Typ 33, (H x L), inkl. Ventil und Thermostat Größe L</t>
        </is>
      </c>
      <c r="C20" s="5" t="inlineStr">
        <is>
          <t>Stück</t>
        </is>
      </c>
      <c r="D20" s="6" t="n">
        <v>725</v>
      </c>
      <c r="E20" s="5" t="inlineStr">
        <is>
          <t>Textmuster analog Pos. 130/131 der Preisliste, Größe entsprechend anpassen.</t>
        </is>
      </c>
    </row>
    <row r="21">
      <c r="A21" s="5" t="inlineStr">
        <is>
          <t>Z20</t>
        </is>
      </c>
      <c r="B21" s="5" t="inlineStr">
        <is>
          <t>comfort Verteiler Edelstahl, DN20 (3/4") 2-4 Gr., m. DFM, BL: 545mm, DIN EN 1264-4</t>
        </is>
      </c>
      <c r="C21" s="5" t="inlineStr">
        <is>
          <t>Stück</t>
        </is>
      </c>
      <c r="D21" s="6" t="n">
        <v>197</v>
      </c>
      <c r="E21" s="5" t="inlineStr"/>
    </row>
    <row r="22">
      <c r="A22" s="5" t="inlineStr">
        <is>
          <t>Z21</t>
        </is>
      </c>
      <c r="B22" s="5" t="inlineStr">
        <is>
          <t>comfort Verteiler Edelstahl, DN20 (3/4") 9-14 Gr., m. DFM, BL: 545mm, DIN EN 1264-4</t>
        </is>
      </c>
      <c r="C22" s="5" t="inlineStr">
        <is>
          <t>Stück</t>
        </is>
      </c>
      <c r="D22" s="6" t="n">
        <v>384</v>
      </c>
      <c r="E22" s="5" t="inlineStr"/>
    </row>
    <row r="23">
      <c r="A23" s="5" t="inlineStr">
        <is>
          <t>Z22</t>
        </is>
      </c>
      <c r="B23" s="5" t="inlineStr">
        <is>
          <t>Zähler-Komplettschrank 3-Feld inkl. Anbindung</t>
        </is>
      </c>
      <c r="C23" s="5" t="inlineStr">
        <is>
          <t>psl.</t>
        </is>
      </c>
      <c r="D23" s="6" t="n">
        <v>2920</v>
      </c>
      <c r="E23" s="5" t="inlineStr">
        <is>
          <t>Zusätzlicher Zählerschrank zur bestehenden Verteilung. inkl. APZ Feld, SLS Schalter 50A, AC Überspannungsschutz, 1x4Pol. FI Schutzschalter, LS Automaten, Klemmstein, Verdrahtungsarbeiten, Hauptzuleitung vom HAK bis zum neuen Zählerschrank und Verbindung zur bestehenden Verteilung.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2" customWidth="1" min="1" max="1"/>
    <col width="52" customWidth="1" min="2" max="2"/>
    <col width="44" customWidth="1" min="3" max="3"/>
  </cols>
  <sheetData>
    <row r="1">
      <c r="A1" s="3" t="inlineStr">
        <is>
          <t>Betrifft</t>
        </is>
      </c>
      <c r="B1" s="3" t="inlineStr">
        <is>
          <t>Regel</t>
        </is>
      </c>
      <c r="C1" s="3" t="inlineStr">
        <is>
          <t>Bemerkung</t>
        </is>
      </c>
    </row>
    <row r="2">
      <c r="A2" s="5" t="inlineStr">
        <is>
          <t>Position 090</t>
        </is>
      </c>
      <c r="B2" s="5" t="inlineStr">
        <is>
          <t>Alle 'BOSCH'-Nennungen aus Titel und Beschreibung entfernen</t>
        </is>
      </c>
      <c r="C2" s="5" t="inlineStr">
        <is>
          <t>Gilt bei jedem (Re-)Import der Preisliste; TAIFUN bleibt unverändert.</t>
        </is>
      </c>
    </row>
    <row r="3">
      <c r="A3" s="5" t="inlineStr">
        <is>
          <t>Überschrift 'Lieferung, Montage und Inbetriebnahme'</t>
        </is>
      </c>
      <c r="B3" s="5" t="inlineStr">
        <is>
          <t>Ersetzen durch 'Demontage Altanlage, Lieferung, Montage und Inbetriebnahme'</t>
        </is>
      </c>
      <c r="C3" s="5" t="inlineStr"/>
    </row>
    <row r="4">
      <c r="A4" s="5" t="inlineStr">
        <is>
          <t>Überschrift 'Fundament-Erstellung, Hauseinführung und Erdarbeiten'</t>
        </is>
      </c>
      <c r="B4" s="5" t="inlineStr">
        <is>
          <t>Ersetzen durch 'Aufstellung der Außeneinheit und Hauseinführung'</t>
        </is>
      </c>
      <c r="C4" s="5" t="inlineStr">
        <is>
          <t>Passt für Fundament (010) und Bodenkonsole (132).</t>
        </is>
      </c>
    </row>
    <row r="5">
      <c r="A5" s="5" t="inlineStr">
        <is>
          <t>Überschrift 'Heizlast + Thermostatventile erneuern + hydraulischer Abgleich'</t>
        </is>
      </c>
      <c r="B5" s="5" t="inlineStr">
        <is>
          <t>Entfällt</t>
        </is>
      </c>
      <c r="C5" s="5" t="inlineStr">
        <is>
          <t>Pos. 008 läuft unter 'Leitungen und Heizkreise'.</t>
        </is>
      </c>
    </row>
    <row r="6">
      <c r="A6" s="5" t="inlineStr">
        <is>
          <t>Import allgemein</t>
        </is>
      </c>
      <c r="B6" s="5" t="inlineStr">
        <is>
          <t>Zeilenumbrüche (_x000D_) bereinigen; Kategoriezeilen ohne Positionsnummer als Gruppen-Überschriften übernehmen</t>
        </is>
      </c>
      <c r="C6" s="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7" customWidth="1" min="1" max="1"/>
    <col width="52" customWidth="1" min="2" max="2"/>
    <col width="58" customWidth="1" min="3" max="3"/>
    <col width="24" customWidth="1" min="4" max="4"/>
  </cols>
  <sheetData>
    <row r="1">
      <c r="A1" s="3" t="inlineStr">
        <is>
          <t>Block</t>
        </is>
      </c>
      <c r="B1" s="3" t="inlineStr">
        <is>
          <t>Überschrift im Angebot</t>
        </is>
      </c>
      <c r="C1" s="3" t="inlineStr">
        <is>
          <t>Inhalt</t>
        </is>
      </c>
      <c r="D1" s="3" t="inlineStr">
        <is>
          <t>Wann</t>
        </is>
      </c>
    </row>
    <row r="2">
      <c r="A2" s="5" t="inlineStr">
        <is>
          <t>1</t>
        </is>
      </c>
      <c r="B2" s="5" t="inlineStr">
        <is>
          <t>DYNAMISCH: 'Bosch Monoblock Wärmepumpe CS3800i AW Paket mit Inneneinheit und Puffer' – bei F03 = Ja: '… mit Inneneinheit, Puffer und Warmwasserbereitung'</t>
        </is>
      </c>
      <c r="C2" s="5" t="inlineStr">
        <is>
          <t>WP-Paket lt. Paketmatrix · Pufferspeicher (F13) · ggf. Pos. 065 · Pos. 003</t>
        </is>
      </c>
      <c r="D2" s="5" t="inlineStr">
        <is>
          <t>immer</t>
        </is>
      </c>
    </row>
    <row r="3">
      <c r="A3" s="5" t="inlineStr">
        <is>
          <t>2</t>
        </is>
      </c>
      <c r="B3" s="5" t="inlineStr">
        <is>
          <t>Leitungen und Heizkreise</t>
        </is>
      </c>
      <c r="C3" s="5" t="inlineStr">
        <is>
          <t>Pos. 005 · Pos. 006 · Pos. 007 (EP) · Pos. 008 · Erd-/Fassadenleitung (F06/F07) · zusätzliche Heizkreise (F14)</t>
        </is>
      </c>
      <c r="D3" s="5" t="inlineStr">
        <is>
          <t>immer</t>
        </is>
      </c>
    </row>
    <row r="4">
      <c r="A4" s="5" t="inlineStr">
        <is>
          <t>3</t>
        </is>
      </c>
      <c r="B4" s="5" t="inlineStr">
        <is>
          <t>Überschrift der Heizkörper-Kategorie aus der Preisliste</t>
        </is>
      </c>
      <c r="C4" s="5" t="inlineStr">
        <is>
          <t>Heizkörper: Z18 / Pos. 130 / Z19 / Pos. 131 + Pos. 129 × Gesamtanzahl</t>
        </is>
      </c>
      <c r="D4" s="5" t="inlineStr">
        <is>
          <t>nur wenn F16 = Ja</t>
        </is>
      </c>
    </row>
    <row r="5">
      <c r="A5" s="5" t="inlineStr">
        <is>
          <t>4</t>
        </is>
      </c>
      <c r="B5" s="5" t="inlineStr">
        <is>
          <t>Empfehlung für den Austausch vom Heizkreisverteiler für Flächenheizung</t>
        </is>
      </c>
      <c r="C5" s="5" t="inlineStr">
        <is>
          <t>Verteiler: Z20 / Pos. 109 / Z21 + Pos. 108 × Anzahl Verteiler</t>
        </is>
      </c>
      <c r="D5" s="5" t="inlineStr">
        <is>
          <t>nur wenn F18 = Nein</t>
        </is>
      </c>
    </row>
    <row r="6">
      <c r="A6" s="5" t="inlineStr">
        <is>
          <t>5</t>
        </is>
      </c>
      <c r="B6" s="5" t="inlineStr">
        <is>
          <t>Demontage Altanlage, Lieferung, Montage und Inbetriebnahme</t>
        </is>
      </c>
      <c r="C6" s="5" t="inlineStr">
        <is>
          <t>Pos. 009 · Öltank-Entsorgung (Z01–Z14 bzw. Pos. 107)</t>
        </is>
      </c>
      <c r="D6" s="5" t="inlineStr">
        <is>
          <t>immer</t>
        </is>
      </c>
    </row>
    <row r="7">
      <c r="A7" s="5" t="inlineStr">
        <is>
          <t>6</t>
        </is>
      </c>
      <c r="B7" s="5" t="inlineStr">
        <is>
          <t>Aufstellung der Außeneinheit und Hauseinführung</t>
        </is>
      </c>
      <c r="C7" s="5" t="inlineStr">
        <is>
          <t>Pos. 010 oder Pos. 132 · ggf. Pos. 133 · ggf. Pos. 135 (EP)</t>
        </is>
      </c>
      <c r="D7" s="5" t="inlineStr">
        <is>
          <t>immer</t>
        </is>
      </c>
    </row>
    <row r="8">
      <c r="A8" s="5" t="inlineStr">
        <is>
          <t>7</t>
        </is>
      </c>
      <c r="B8" s="5" t="inlineStr">
        <is>
          <t>(ohne Überschrift)</t>
        </is>
      </c>
      <c r="C8" s="5" t="inlineStr">
        <is>
          <t>Pos. 011 · ZV: Pos. 104 / Z22 bzw. Pos. 149 / 150 / 153</t>
        </is>
      </c>
      <c r="D8" s="5" t="inlineStr">
        <is>
          <t>immer</t>
        </is>
      </c>
    </row>
    <row r="9">
      <c r="A9" s="5" t="inlineStr">
        <is>
          <t>8</t>
        </is>
      </c>
      <c r="B9" s="5" t="inlineStr">
        <is>
          <t>KfW Förderantragsunterstützung</t>
        </is>
      </c>
      <c r="C9" s="5" t="inlineStr">
        <is>
          <t>Pos. 012</t>
        </is>
      </c>
      <c r="D9" s="5" t="inlineStr">
        <is>
          <t>immer</t>
        </is>
      </c>
    </row>
    <row r="10">
      <c r="A10" s="5" t="inlineStr">
        <is>
          <t>9</t>
        </is>
      </c>
      <c r="B10" s="5" t="inlineStr">
        <is>
          <t>Erweiterung Systemgarantie</t>
        </is>
      </c>
      <c r="C10" s="5" t="inlineStr">
        <is>
          <t>Pos. 013</t>
        </is>
      </c>
      <c r="D10" s="5" t="inlineStr">
        <is>
          <t>immer</t>
        </is>
      </c>
    </row>
    <row r="11">
      <c r="A11" s="5" t="inlineStr">
        <is>
          <t>10</t>
        </is>
      </c>
      <c r="B11" s="5" t="inlineStr">
        <is>
          <t>(ohne Überschrift)</t>
        </is>
      </c>
      <c r="C11" s="5" t="inlineStr">
        <is>
          <t>Pos. 014 (Gruppen-Trigger) + gewählte Pos. 015 / 016 / 017</t>
        </is>
      </c>
      <c r="D11" s="5" t="inlineStr">
        <is>
          <t>nur wenn mind. ein Friondo-Ja</t>
        </is>
      </c>
    </row>
    <row r="12">
      <c r="A12" s="5" t="inlineStr">
        <is>
          <t>11</t>
        </is>
      </c>
      <c r="B12" s="5" t="inlineStr">
        <is>
          <t>Summenblock</t>
        </is>
      </c>
      <c r="C12" s="5" t="inlineStr">
        <is>
          <t>Netto-Summe · 19 % USt. · Gesamt-Betrag brutto · KfW-Aufschlüsselung (Grundförderung, Boni, Fördersatz, förderfähige Kosten, Zuschuss) · Eigenanteil · Disclaimer</t>
        </is>
      </c>
      <c r="D12" s="5" t="inlineStr">
        <is>
          <t>immer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30" customWidth="1" min="1" max="1"/>
    <col width="64" customWidth="1" min="2" max="2"/>
    <col width="44" customWidth="1" min="3" max="3"/>
  </cols>
  <sheetData>
    <row r="1">
      <c r="A1" s="3" t="inlineStr">
        <is>
          <t>Parameter</t>
        </is>
      </c>
      <c r="B1" s="3" t="inlineStr">
        <is>
          <t>Wert</t>
        </is>
      </c>
      <c r="C1" s="3" t="inlineStr">
        <is>
          <t>Bemerkung</t>
        </is>
      </c>
    </row>
    <row r="2">
      <c r="A2" s="5" t="inlineStr">
        <is>
          <t>Gültigkeit der Konditionen</t>
        </is>
      </c>
      <c r="B2" s="5" t="inlineStr">
        <is>
          <t>21.07.2026 bis 31.01.2027</t>
        </is>
      </c>
      <c r="C2" s="5" t="inlineStr">
        <is>
          <t>Tool warnt nach Ablauf: Konditionen prüfen!</t>
        </is>
      </c>
    </row>
    <row r="3">
      <c r="A3" s="5" t="inlineStr">
        <is>
          <t>Grundförderung</t>
        </is>
      </c>
      <c r="B3" s="5" t="inlineStr">
        <is>
          <t>30 %</t>
        </is>
      </c>
      <c r="C3" s="5" t="inlineStr">
        <is>
          <t>für alle Antragsteller</t>
        </is>
      </c>
    </row>
    <row r="4">
      <c r="A4" s="5" t="inlineStr">
        <is>
          <t>Klimageschwindigkeits-Bonus</t>
        </is>
      </c>
      <c r="B4" s="5" t="inlineStr">
        <is>
          <t>16 %</t>
        </is>
      </c>
      <c r="C4" s="5" t="inlineStr">
        <is>
          <t>nur Selbstnutzer; F34 Option 1 oder 2</t>
        </is>
      </c>
    </row>
    <row r="5">
      <c r="A5" s="5" t="inlineStr">
        <is>
          <t>Einkommensbonus Stufe 1</t>
        </is>
      </c>
      <c r="B5" s="5" t="inlineStr">
        <is>
          <t>40 % bei Einkommen bis 30.000 €</t>
        </is>
      </c>
      <c r="C5" s="5" t="inlineStr">
        <is>
          <t>nur Selbstnutzer</t>
        </is>
      </c>
    </row>
    <row r="6">
      <c r="A6" s="5" t="inlineStr">
        <is>
          <t>Einkommensbonus Stufe 2</t>
        </is>
      </c>
      <c r="B6" s="5" t="inlineStr">
        <is>
          <t>30 % bei Einkommen bis 40.000 €</t>
        </is>
      </c>
      <c r="C6" s="5" t="inlineStr"/>
    </row>
    <row r="7">
      <c r="A7" s="5" t="inlineStr">
        <is>
          <t>Einkommensbonus Stufe 3</t>
        </is>
      </c>
      <c r="B7" s="5" t="inlineStr">
        <is>
          <t>10 % bei Einkommen bis 50.000 €</t>
        </is>
      </c>
      <c r="C7" s="5" t="inlineStr"/>
    </row>
    <row r="8">
      <c r="A8" s="5" t="inlineStr">
        <is>
          <t>Kind-Freibetrag</t>
        </is>
      </c>
      <c r="B8" s="5" t="inlineStr">
        <is>
          <t>10.000 € Abzug vom Einkommen</t>
        </is>
      </c>
      <c r="C8" s="5" t="inlineStr">
        <is>
          <t>wenn F36 = Ja</t>
        </is>
      </c>
    </row>
    <row r="9">
      <c r="A9" s="5" t="inlineStr">
        <is>
          <t>Fördersatz-Deckel</t>
        </is>
      </c>
      <c r="B9" s="5" t="inlineStr">
        <is>
          <t>70 %</t>
        </is>
      </c>
      <c r="C9" s="5" t="inlineStr">
        <is>
          <t>Standard</t>
        </is>
      </c>
    </row>
    <row r="10">
      <c r="A10" s="5" t="inlineStr">
        <is>
          <t>Fördersatz-Deckel erhöht</t>
        </is>
      </c>
      <c r="B10" s="5" t="inlineStr">
        <is>
          <t>80 %</t>
        </is>
      </c>
      <c r="C10" s="5" t="inlineStr">
        <is>
          <t>nur wenn Einkommensbonus = 40 %</t>
        </is>
      </c>
    </row>
    <row r="11">
      <c r="A11" s="5" t="inlineStr">
        <is>
          <t>Höchstkosten EFH</t>
        </is>
      </c>
      <c r="B11" s="5" t="inlineStr">
        <is>
          <t>28.000 €</t>
        </is>
      </c>
      <c r="C11" s="5" t="inlineStr"/>
    </row>
    <row r="12">
      <c r="A12" s="5" t="inlineStr">
        <is>
          <t>Höchstkosten MFH</t>
        </is>
      </c>
      <c r="B12" s="5" t="inlineStr">
        <is>
          <t>28.000 € + 15.000 € je WE 2–6 + 8.000 € ab der 7. WE</t>
        </is>
      </c>
      <c r="C12" s="5" t="inlineStr"/>
    </row>
    <row r="13">
      <c r="A13" s="5" t="inlineStr">
        <is>
          <t>Höchstkosten Gewerbe</t>
        </is>
      </c>
      <c r="B13" s="5" t="inlineStr">
        <is>
          <t>28.000 € bis 150 m²; +197 €/m² (151–400 m²); +118 €/m² (401–1.000 m²); +79 €/m² (ab 1.001 m²)</t>
        </is>
      </c>
      <c r="C13" s="5" t="inlineStr"/>
    </row>
    <row r="14">
      <c r="A14" s="5" t="inlineStr">
        <is>
          <t>MFH-Boni</t>
        </is>
      </c>
      <c r="B14" s="5" t="inlineStr">
        <is>
          <t>Boni nur anteilig auf die selbstgenutzte WE (förderfähige Kosten ÷ WE)</t>
        </is>
      </c>
      <c r="C14" s="5" t="inlineStr">
        <is>
          <t>Näherung; Hinweis im Angebot ausgeben</t>
        </is>
      </c>
    </row>
    <row r="15">
      <c r="A15" s="5" t="inlineStr">
        <is>
          <t>Gewerbe</t>
        </is>
      </c>
      <c r="B15" s="5" t="inlineStr">
        <is>
          <t>nur Grundförderung 30 %; Antrag KfW 522</t>
        </is>
      </c>
      <c r="C15" s="5" t="inlineStr">
        <is>
          <t>Wohngebäude: KfW 458; Programmnr. mit ausgeben</t>
        </is>
      </c>
    </row>
    <row r="16">
      <c r="A16" s="5" t="inlineStr">
        <is>
          <t>Kosten der Maßnahme</t>
        </is>
      </c>
      <c r="B16" s="5">
        <f> Angebotssumme brutto, automatisch</f>
        <v/>
      </c>
      <c r="C16" s="5" t="inlineStr">
        <is>
          <t>förderfähig = min(Kosten, Höchstkosten)</t>
        </is>
      </c>
    </row>
    <row r="17">
      <c r="A17" s="5" t="inlineStr">
        <is>
          <t>Deckel-Hinweis</t>
        </is>
      </c>
      <c r="B17" s="5" t="inlineStr">
        <is>
          <t>Wenn Kosten &gt; Höchstkosten: Hinweis 'Betrag darüber wird nicht bezuschusst'</t>
        </is>
      </c>
      <c r="C17" s="5" t="inlineStr"/>
    </row>
    <row r="18">
      <c r="A18" s="5" t="inlineStr">
        <is>
          <t>Darstellung</t>
        </is>
      </c>
      <c r="B18" s="5" t="inlineStr">
        <is>
          <t>Volle Aufschlüsselung im Summenblock + Zeile 'Fördersatz: X % von Y € förderfähigen Kosten'</t>
        </is>
      </c>
      <c r="C18" s="5" t="inlineStr"/>
    </row>
    <row r="19">
      <c r="A19" s="5" t="inlineStr">
        <is>
          <t>Eigenanteil</t>
        </is>
      </c>
      <c r="B19" s="5">
        <f> Angebotssumme brutto − Zuschuss (nie unter 0)</f>
        <v/>
      </c>
      <c r="C19" s="5" t="inlineStr"/>
    </row>
    <row r="20">
      <c r="A20" s="5" t="inlineStr">
        <is>
          <t>Disclaimer</t>
        </is>
      </c>
      <c r="B20" s="5" t="inlineStr">
        <is>
          <t>Unverbindliche Beispielrechnung der Friondo GmbH auf Basis der BEG-Richtlinie, Konditionen ab 21.07.2026. Maßgeblich sind allein die Förderzusage der KfW und die jeweils gültige Richtlinie.</t>
        </is>
      </c>
      <c r="C20" s="5" t="inlineStr">
        <is>
          <t>unter dem Summenblock ausgeben</t>
        </is>
      </c>
    </row>
    <row r="21">
      <c r="A21" s="5" t="inlineStr">
        <is>
          <t>Referenz</t>
        </is>
      </c>
      <c r="B21" s="5" t="inlineStr">
        <is>
          <t>foerderrechner-website.html – Testfälle: Tool muss identische Ergebnisse liefern</t>
        </is>
      </c>
      <c r="C21" s="5" t="inlineStr">
        <is>
          <t>liegt im Projektordner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2026-08-07T19:00:42Z</dcterms:created>
  <dcterms:modified xmlns:dcterms="http://purl.org/dc/terms/" xmlns:xsi="http://www.w3.org/2001/XMLSchema-instance" xsi:type="dcterms:W3CDTF">2026-08-07T19:00:42Z</dcterms:modified>
</cp:coreProperties>
</file>